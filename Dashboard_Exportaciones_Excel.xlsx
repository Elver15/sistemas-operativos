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lculos" sheetId="2" state="visible" r:id="rId4"/>
    <sheet name="Datos" sheetId="3" state="visible" r:id="rId5"/>
  </sheets>
  <definedNames>
    <definedName function="false" hidden="true" localSheetId="2" name="_xlnm._FilterDatabase" vbProcedure="false">Datos!$A$1:$P$364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<sst xmlns="http://schemas.openxmlformats.org/spreadsheetml/2006/main" count="3347" uniqueCount="328">
  <si>
    <t xml:space="preserve">Exportaciones de minerales de oro (partida 2616901000) – 2025 a oct-2026</t>
  </si>
  <si>
    <t xml:space="preserve">FOB total (MM USD)</t>
  </si>
  <si>
    <t xml:space="preserve">Peso neto (miles TM)</t>
  </si>
  <si>
    <t xml:space="preserve">Declaraciones</t>
  </si>
  <si>
    <t xml:space="preserve">Precio medio (USD/TM)</t>
  </si>
  <si>
    <t xml:space="preserve">FOB 2026 vs 2025 (parcial)</t>
  </si>
  <si>
    <t xml:space="preserve">Año-Mes</t>
  </si>
  <si>
    <t xml:space="preserve">FOB (MM USD)</t>
  </si>
  <si>
    <t xml:space="preserve">Precio (USD/TM)</t>
  </si>
  <si>
    <t xml:space="preserve">Departamento</t>
  </si>
  <si>
    <t xml:space="preserve">% del total</t>
  </si>
  <si>
    <t xml:space="preserve">Tipo de producto</t>
  </si>
  <si>
    <t xml:space="preserve">RUC usuario</t>
  </si>
  <si>
    <t xml:space="preserve">Año</t>
  </si>
  <si>
    <t xml:space="preserve">2025-01</t>
  </si>
  <si>
    <t xml:space="preserve">Pasco</t>
  </si>
  <si>
    <t xml:space="preserve">Mineral de oro</t>
  </si>
  <si>
    <t xml:space="preserve">20504041027</t>
  </si>
  <si>
    <t xml:space="preserve">2025-02</t>
  </si>
  <si>
    <t xml:space="preserve">Junín</t>
  </si>
  <si>
    <t xml:space="preserve">Concentrado de oro</t>
  </si>
  <si>
    <t xml:space="preserve">20100255325</t>
  </si>
  <si>
    <t xml:space="preserve">2025-03</t>
  </si>
  <si>
    <t xml:space="preserve">Ica</t>
  </si>
  <si>
    <t xml:space="preserve">20100407362</t>
  </si>
  <si>
    <t xml:space="preserve">2025-04</t>
  </si>
  <si>
    <t xml:space="preserve">Ayacucho</t>
  </si>
  <si>
    <t xml:space="preserve">20101368221</t>
  </si>
  <si>
    <t xml:space="preserve">Nota: 2026 llega hasta el 12-oct. Datos! es la fuente; todo se calcula con fórmulas.</t>
  </si>
  <si>
    <t xml:space="preserve">2025-05</t>
  </si>
  <si>
    <t xml:space="preserve">Lima</t>
  </si>
  <si>
    <t xml:space="preserve">20252062077</t>
  </si>
  <si>
    <t xml:space="preserve">2025-06</t>
  </si>
  <si>
    <t xml:space="preserve">Arequipa</t>
  </si>
  <si>
    <t xml:space="preserve">Sin RUC</t>
  </si>
  <si>
    <t xml:space="preserve">2025-07</t>
  </si>
  <si>
    <t xml:space="preserve">Áncash</t>
  </si>
  <si>
    <t xml:space="preserve">20615918670</t>
  </si>
  <si>
    <t xml:space="preserve">2025-08</t>
  </si>
  <si>
    <t xml:space="preserve">La Libertad</t>
  </si>
  <si>
    <t xml:space="preserve">20127705969</t>
  </si>
  <si>
    <t xml:space="preserve">2025-09</t>
  </si>
  <si>
    <t xml:space="preserve">Cajamarca</t>
  </si>
  <si>
    <t xml:space="preserve">2025-10</t>
  </si>
  <si>
    <t xml:space="preserve">Piura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</si>
  <si>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</si>
  <si>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</si>
  <si>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</si>
  <si>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</si>
  <si>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</si>
  <si>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</si>
  <si>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</si>
  <si>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</si>
  <si>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</si>
  <si>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</si>
  <si>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</si>
  <si>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</si>
  <si>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ID_Declaracion</t>
  </si>
  <si>
    <t xml:space="preserve">Serie</t>
  </si>
  <si>
    <t xml:space="preserve">Fecha</t>
  </si>
  <si>
    <t xml:space="preserve">AñoMes</t>
  </si>
  <si>
    <t xml:space="preserve">Cod_Aduana</t>
  </si>
  <si>
    <t xml:space="preserve">Aduana</t>
  </si>
  <si>
    <t xml:space="preserve">Tipo_Producto</t>
  </si>
  <si>
    <t xml:space="preserve">RUC_Usuario</t>
  </si>
  <si>
    <t xml:space="preserve">Peso_Neto_TM</t>
  </si>
  <si>
    <t xml:space="preserve">FOB_USD</t>
  </si>
  <si>
    <t xml:space="preserve">Cod_Ubigeo</t>
  </si>
  <si>
    <t xml:space="preserve">Descripcion</t>
  </si>
  <si>
    <t xml:space="preserve">Anulada</t>
  </si>
  <si>
    <t xml:space="preserve">FOB_Atipico</t>
  </si>
  <si>
    <t xml:space="preserve">118</t>
  </si>
  <si>
    <t xml:space="preserve">Marítima del Callao</t>
  </si>
  <si>
    <t xml:space="preserve">MINERAL_DE_AU EN BIG BAGS ELEMENTO: AU6.0G/TM</t>
  </si>
  <si>
    <t xml:space="preserve">No</t>
  </si>
  <si>
    <t xml:space="preserve">CONCENTRADO DE ORO ELEMENTOS PAGABLES: CU, AG, AU ELEMENTOS PENALIZABLES: AS</t>
  </si>
  <si>
    <t xml:space="preserve">CONCENT_DE_AU; CONTRATO P.24.RMR.752 PAGABLES;AU,AG PENALIZABLES;NO_APLICA; B/Q 118-2025-000127: MINERAL CONCENTRADO DE ORO, HUMEDAD= 7.85670%(INF. AHK NO. AHKS-2025-105); AU=15.24 G/TM (FA-GRAV),</t>
  </si>
  <si>
    <t xml:space="preserve">CONCENT_DE_AU; CONTRATO P.24.RMR.752 PAGABLES;AU,AG PENALIZABLES;NO_APLICA</t>
  </si>
  <si>
    <t xml:space="preserve">CONCENT_DE_AU PIRITA,CONT; P.24.RMR.661 PAGABLES;AU,AG PENALIZABLES;NO_APLICA</t>
  </si>
  <si>
    <t xml:space="preserve">CONCENTRADO DE ORO A GRANEL</t>
  </si>
  <si>
    <t xml:space="preserve">CONCENTRADO_DE_AU;CONTRATO:LMGF24-001-AUCU PAGABLE;AU,AG,CU PENALIZABLES;NO_APLICA</t>
  </si>
  <si>
    <t xml:space="preserve">CONCENT_DE_AU PIRITA,CONT; P.24.RMR.661 PAGABLES;AU,AG PENALIZABLES;NO_APLICA
AS5.78%,PB2.24%,ZN3.03%,AG75G/TM,AU8.4G/TM</t>
  </si>
  <si>
    <t xml:space="preserve">MINERAL_DE_AU EN BIG BAGS ELEMENTO: AU</t>
  </si>
  <si>
    <t xml:space="preserve">MINERAL_DE_AU EN BIG BAGS ELEMENTOS:AU,AG,CU</t>
  </si>
  <si>
    <t xml:space="preserve">CONCENTRADO_DE_AU;CONTRATO; MTSAU24016 PAGABLE;AU,AG,CU PENALIZABLE_NO_APLICA</t>
  </si>
  <si>
    <t xml:space="preserve">Cusco</t>
  </si>
  <si>
    <t xml:space="preserve">CONCENTRADO_DE_AU,CONTRATO:ACP25S5-004/01 PAGABLE:AU,AG PENALIZABLES: NO APLICA
AG176G/TM,AU21.5G/TM</t>
  </si>
  <si>
    <t xml:space="preserve">MINERAL DE  AU/AG A GRANEL ELEMENTOS AU, AG</t>
  </si>
  <si>
    <t xml:space="preserve">CONCENTRADO_DE_AU,CONTRATOTMHKYH2023012 ELEMENTOS PAGABLES:AU ELEMENTOS PENALIZABLES:AS
AU28.440G/TM</t>
  </si>
  <si>
    <t xml:space="preserve">CONCENTRADO_DE_AU;CONTRATO:P.24.RMR.647 PAGABLE:AU,AG PENALIZABLES:NO_APLICA
AS3.69%,PB0.37%,ZN1.74%,AG82G/TM,AU7.3G/TM</t>
  </si>
  <si>
    <t xml:space="preserve">MINERAL_DE_AU EN BIG BAGS ELEMENTOS:AU,AG</t>
  </si>
  <si>
    <t xml:space="preserve">CONCENTRADO_DE_AU;CONTRATO:P100512/0052 53 54 55 ._- BQ  237:: CONCENTRADO DE ORO , MINERAL CONCENTRADO DE ORO, HUMEDAD= 7.08952% (INF. AHK NO. AHKS-2025-238), 	ORO= 40.23 G/TM  (FA-GRAV),</t>
  </si>
  <si>
    <t xml:space="preserve">MINERAL_DE_AU EN BAGS ELEMENTOS AG,AU,CU</t>
  </si>
  <si>
    <t xml:space="preserve">MINERAL_DE_AU A GRANEL ELEMENTOS AG,AU,CU</t>
  </si>
  <si>
    <t xml:space="preserve">CONCENTRADO_DE_AU;CONTRATO:LMGF25-001-AUCU PAGABLE;AU,AG,CU PENALIZABLES:NO_APLICA</t>
  </si>
  <si>
    <t xml:space="preserve">CONCENTRADO_DE_AU;CONTRATO:P.25.RMR.784 _-BQ 242:: CONCENTRADO DE ORO
Descripción :	MINERAL CONCENTRADO DE ORO, HUMEDAD= 8.75238% (INF. AHK N°: AHKS-2025-243).
Composición :	ORO= 22.25 G/TM (FA-GRAV),</t>
  </si>
  <si>
    <t xml:space="preserve">CONCENTRADO DE ORO ELEMENTOS PAGABLES: CU, AG, AU ELEMENTOS PENALIZABLES:AS</t>
  </si>
  <si>
    <t xml:space="preserve">MINERAL DE ORO A GRANEL</t>
  </si>
  <si>
    <t xml:space="preserve">CONCENTRADO DE COBRE A GRANEL</t>
  </si>
  <si>
    <t xml:space="preserve">MINERAL_DE_AU EN BAGS ELEMENTOS AU,AG,CU</t>
  </si>
  <si>
    <t xml:space="preserve">MINERAL DE ORO (EN BIG BAGS) AU 6.94G/TM 1095.937TMS, 1250.972TMH, 12.39%H, USD $343.99/TMS INFORME DE ENSAYO MN2503848</t>
  </si>
  <si>
    <t xml:space="preserve">CONCENTRADO DE AU;CONTRATO:P USRMC CT00010 20 PAGABLES;AU,AG PENALIZABLES:AS,PB,ZN</t>
  </si>
  <si>
    <t xml:space="preserve">CONCENTRADO DE ORO</t>
  </si>
  <si>
    <t xml:space="preserve">145</t>
  </si>
  <si>
    <t xml:space="preserve">Mollendo-Matarani</t>
  </si>
  <si>
    <t xml:space="preserve">CONCENTRADO_DE_ORO PAGABLES: Au, Ag, Cu, EN_SACAS</t>
  </si>
  <si>
    <t xml:space="preserve">370</t>
  </si>
  <si>
    <t xml:space="preserve">Aduana 370 (nombre por confirmar)</t>
  </si>
  <si>
    <t xml:space="preserve">CONCENTRADO_DE_AU,CONTRATO:P.25.RMR.776 PAGABLES:AU,AG PENALIZABLES:AS,PB,ZN</t>
  </si>
  <si>
    <t xml:space="preserve">CONCENTRADO_DE_AU;CONTRATO:LMGF25-002-AUCU PAGABLE;AU,AG,CU PENALIZABLES;NO_APLICA
CU12.32%,AG366G/TM,AU22.53G/TM</t>
  </si>
  <si>
    <t xml:space="preserve">CONCENTRADO DE ORO PAGABLES:CU; AG; AU, PENALIZABLES: NO CU10.85%, AG447G/TM; AU43.6G/TM INFORME DE ENSAYO S2549161</t>
  </si>
  <si>
    <t xml:space="preserve">MINERAL_DE_AU EN BIG BAGS ELEMENTO: AU-_BQ 644:: 	MINERAL DE ORO, 	MINERAL TRITURADO DE ORO, HUMEDAD= 4.24% (OLC) 	PLOMO= 0.083% (AAS), ORO= 6.19G/TM (FA-GRAV), PLATA= ND (FA-AAS) .</t>
  </si>
  <si>
    <t xml:space="preserve">CONCENTRADO_DE_AU;CONTRATO:No. 2025-1 PAGABLES:AU,AG PENALIZALES: NO_APLICA
AG3241.19G/TM,AU104.94G/TM</t>
  </si>
  <si>
    <t xml:space="preserve">CONCENTRADO_DE_AG/AU;CONTRATO:P.25.RMR.776 PAQGABLES:AG,AU PENALIZABLES:AS.PB.ZN_-BQ 713:: 	CONCENTRADO DE ORO MINERAL CONCENTRADO DE ORO, HUMEDAD= 9.523% (INF.INSPECTORATE.NO: LMP2581755)</t>
  </si>
  <si>
    <t xml:space="preserve">CONCENTRADO_DE_AU, CONTRATO:.P100804/0041 42 45 46 PAGABLES: AU,AG PENALIZABLES:AS_-BQ 747:: CONCENTRADO DE ORO MINERAL CONCENTRADO DE ORO, HUMEDAD= 5.48548% (INF. AHK NO. AHKS-2025-877)</t>
  </si>
  <si>
    <t xml:space="preserve">CONCENTRADO DE ORO A GRANEL, HUMEDAD= 7.31500 %, (INF. HK N°: AHKS-2025-918), COBRE= 16.44%, PLATA= 288 G/TM, ORO= 17.2 G/TM</t>
  </si>
  <si>
    <t xml:space="preserve">MINERAL DE  AU/AG A GRANEL ELEMENTOS AG,AU,AS,PB,ZN</t>
  </si>
  <si>
    <t xml:space="preserve">CONCENTRADO_DE_AU,CONTRATO:P.25.RMR.776 PAGABLES:AU,AG PENALIZABLES:AS,PB,ZN-_ BQ 842:: CONCENTRADO DE ORO MINERAL CONCENTRADO DE ORO, HUMEDAD=13.00800% (INF. INSPECTORATE NO.: LMP2582918)</t>
  </si>
  <si>
    <t xml:space="preserve">CONCENTRADO_DE_AU;CONTRATO:No. 2025-1 PAGABLES:AU,AG PENALIZABLES:NO_APLICA
AG264G/TM,AU3.13G/TM,CU7.35%</t>
  </si>
  <si>
    <t xml:space="preserve">CONCENTRADO_DE_AU;CONTRATO: No. 2025-1 PAGABLES:Cu,Ag,Au PENALIZABLES:NO_APLICA
AG90G/TM,AU44.1G/TM,CU6.55%</t>
  </si>
  <si>
    <t xml:space="preserve">CONCENTRADO_DE_AU;CONTRATO:LMGF25-002-AUCU PAGABLE;AU,AG,CU PENALIZABLES;NO_APLICA
CU10.61%,AG467G/TM,AU39.72G/TM.</t>
  </si>
  <si>
    <t xml:space="preserve">CONCENTRADO_DE_AU;CONTRATO:LMGF25-002-AUCU PAGABLE;AU,AG,CU PENALIZABLES;NO APLICA
CU10.61%,AG467G/TM,AU39.72G/TM</t>
  </si>
  <si>
    <t xml:space="preserve">CONCENTRADO_DE_AU,CONTRATO:P.25.RMR.776 PAGABLES: AU,AG PENALIZABLES: AS,PB,ZN /BQ 370-2025-029, MINERAL CONCENTRADO DE ORO. INF. INSPECTORATE N° LMP2584227</t>
  </si>
  <si>
    <t xml:space="preserve">CONCENTRADO_DE_AU;CONTRATO; MTSAU25023 PAGABLE;AU,AG,CU PENALIZABLE_NO_APLICA
AS3.02%,AG243G/TM,CU10.70%,AU17.30G/TM</t>
  </si>
  <si>
    <t xml:space="preserve">CONCENTRADO_DE_AU, CONTRATO:.P100644/0032 PAGABLES: AU,AG PENALIZABLES:AS_-BQ 1000:: CONCENTRADO DE ORO MINERAL CONCENTRADO DE ORO, HUMEDAD=7.97284% (INF. AHK NO.: AHKS-2025-1220)ORO=25.40G/TM(FA-GRAV</t>
  </si>
  <si>
    <t xml:space="preserve">CONCENTRADO_DE_AU;CONTRATO: No. 2025-1 PAGABLES:AU,AG PENALIZABLES:NO_APLICA AG3889G/TM,AU98.0G/TM,CU2.56%</t>
  </si>
  <si>
    <t xml:space="preserve">CONCENTRADO_DE_AU;CONTRATO: No. 2025-1 PAGABLES:AU,AG PENALIZABLES:NO_APLICA
AG500G/TM,AU24.8G/TM,CU6.64%</t>
  </si>
  <si>
    <t xml:space="preserve">CONCENTRADO DE ORO, CONTRATO: BAUC1249 / AU-PE-25-11 PAGABLES:CU, AG, AU, PENALIZABLES:AS AU17.4/TM, AG256G/TM, CU17.69%, AS3.19%</t>
  </si>
  <si>
    <t xml:space="preserve">CONCENTRADO_DE_AU,CONTRATO:P USRMC P.25.RMR.856 PAGABLE:AU,AG PENALIZABLES:AS AU17GR/TM,AG301.13GR/TM,AS0.93%_-BQ 1085:: CONCENTRADO DE ORO MINERAL CONCENTRADO DE ORO. HUMEDAD=13.42776%</t>
  </si>
  <si>
    <t xml:space="preserve">CONCENTRADO_DE_AU,CONTRATO:P.25.RMR.776 PAGABLES: AU,AG PENALIZABLES: AS,PB,ZN // BQ 370-2025-000048,  MINERAL CONCENTRADO DE ORO</t>
  </si>
  <si>
    <t xml:space="preserve">Puno</t>
  </si>
  <si>
    <t xml:space="preserve">CONCENTRADO DE ORO, CONTRATO: AUC1157 PAGABLES:AU, PENALIZABLES:AS AU58.8G/TM, AS2.54%</t>
  </si>
  <si>
    <t xml:space="preserve">CONCENTRADO DE ORO, CONTRATO: BAUC0481 / AU-PE-25-03 PAGABLES:CU, AG, AU, PENALIZABLES:AS AU17.5G/TM, AG339G/TM, CU14.08%, AS 3.16%</t>
  </si>
  <si>
    <t xml:space="preserve">CONCENTRADO_DE_AU,CONTRATO:ACP25S5-004/02A PAGABLE:AU,AG PENALIZABLES: NO APLICA
AG185G/TM,AU21.1G/TM</t>
  </si>
  <si>
    <t xml:space="preserve">CONCENTRADO_DE_AU.,CONTRATO:P100804 0004 05 06 07 PAGABLES:AU,AG PENALIZABLES:AS</t>
  </si>
  <si>
    <t xml:space="preserve">CONCENTRADO_DE_AU;CONTRATO; MTSAU24016 PAGABLE;CU;AG;AU PENALIZABLE_NO_APLICA</t>
  </si>
  <si>
    <t xml:space="preserve">CONCENTRADO_DE_AU, CONTRATO:.P100804/0013 14 15 16 PAGABLES: AU,AG,CU PENALIZABLESAS
AS2.08%,CU9.48%,AG497G/TM,AU16.2G/TM</t>
  </si>
  <si>
    <t xml:space="preserve">20520519328</t>
  </si>
  <si>
    <t xml:space="preserve">MINERAL DE ORO(48.41 G/TN), PLATA(32.00 G/TN),COBRE(1.20%) MINERAL DE METALES PRECIOSOS (PRECIOUS METAL ORES) EN BIG BAG, CONTRATO N0. YMSG20240830-1-1</t>
  </si>
  <si>
    <t xml:space="preserve">MINERAL DE  AU/AG A GRANEL ELEMENTOS AU, AG,AS,PB,ZN</t>
  </si>
  <si>
    <t xml:space="preserve">CONCENTRADO_DE_AU,CONTRATO:ACP25S5-004/02B PAGABÑES,AU,AG PENALIZABLES:NO_APLICA
AG169G/TM,AU21.2G/TM</t>
  </si>
  <si>
    <t xml:space="preserve">CONCENTRADO_DE_AU;CONTRATO:No. 2025-1 PAGABLES:AU,AG PENALIZABLES:NO_APLICA
CU9.18%,AG1776.04G/TM,AU23.71</t>
  </si>
  <si>
    <t xml:space="preserve">MINERAL DE ORO EN BIG BAGS</t>
  </si>
  <si>
    <t xml:space="preserve">CONCENTRADO_DE_AU, CONTRATO:.P100644/0029+30 PAGABLES: AU,AG PENALIZABLES:AS-_ BQ 833:: 	CONCENTRADO DE ORO MINERAL CONCENTRADO DE ORO, HUMEDAD= 6.42959% (INF. AHK N°: AHKS-2025-1002)</t>
  </si>
  <si>
    <t xml:space="preserve">CONCENTRADO_DE_AU;CONTRATO:P.25.RMR.784 PAGABLES:AU,AG PENALIZABLES:NO_APLICA_-BQ 831:: CONCENTRADO DE ORO MINERAL CONCENTRADO DE ORO, HUMEDAD=8.08352%(INF. AHK NO.: AHKS-2025-996) ORO=21.03G/TM</t>
  </si>
  <si>
    <t xml:space="preserve">MINERAL DE ORO EN BIG BAG</t>
  </si>
  <si>
    <t xml:space="preserve">MINERALDE COBRE EN BAGS ELELMENTOS ,CU,AG,AU; B/Q 118-2025-001004: MINERAL TRITURADO DE AU; HUMEDAD= 4.92% (OLC); CU=0.089%, AU=7.43 G/TM, AG=194.63 G/TM; USO:RECUPERACIÓN DE METALES</t>
  </si>
  <si>
    <t xml:space="preserve">CONCENTRADO_DE_AU;CONTRATO:IC P100.01219 PAGABLES_CU,AG,AU PENALIZABLES;SB,AS,BI,PB,ZN,HG,
SB0.44%,AS5.16%,CU16.08%,PB0.32%,ZN0.86%,BI210PPM,HG45PPM,AG454G/TM,AU70.6G/TM</t>
  </si>
  <si>
    <t xml:space="preserve">MINERAL DE ORO / PLATA A  GRANEL ELEMENTOS:AU,AG,AS,PB,ZN</t>
  </si>
  <si>
    <t xml:space="preserve">MINERAL GRANULADO DE ORO AG 8G/MT, AU 12.16G/MT 25.822TMS, 32.100TMH, 19.55%H, USD $2511.00/TMS INFORME DE ENSAYO LMA2585812</t>
  </si>
  <si>
    <t xml:space="preserve">CONCENTRADO DE ORO AU ELEMENTOS PAGABLES: CU, AG, AU ELEMENTOS PENALIZABLES: AS, SB, BI, PB, ZN, HG</t>
  </si>
  <si>
    <t xml:space="preserve">CONCENTRADO_DE_AU.,CONTRATO:P100826/0001 0002 PAGABLES:AU,AG,CU PENALIZABLES:AS,HG,BI,PB,ZN</t>
  </si>
  <si>
    <t xml:space="preserve">CONCENTRADO_DE_AU;CONTRATO:S_HMP25AUCONCS_00001 PAGABLES:AG, AU PENALIZABLES:NO_APLICA
AG70G/TM,AU3.2G/TM</t>
  </si>
  <si>
    <t xml:space="preserve">CONCENTRADO_DE_AG/AU;CONTRATO:P.25.RMR.776 PAQGABLES:AG,AU PENALIZABLES:AS.PB.ZN_-BQ 398 :: CONCENTRADO DE ORO, MINERAL CONCENTRADO DE ORO, HUMEDAD= 9.67464% (INF. AHK NO.: AHKS-2025-420)</t>
  </si>
  <si>
    <t xml:space="preserve">CONCENTRADO_DE_AU.CONRATO:P100804 0008 12 17 00001 PAGABÑE AU,AG PENALIZABLES:AS_- BQ 488:: CONCENTRADO DE ORO, MINERAL CONCENTRADO DE ORO, HUMEDAD=5.14345% (INF. AHK NO. AHK-2025-551)</t>
  </si>
  <si>
    <t xml:space="preserve">CONCENTRADO DE ORO - AU ELEMENTOS PAGABLES: CU, AG, AU ELEMENTOS PENALIZABLES: AS</t>
  </si>
  <si>
    <t xml:space="preserve">CONCENTRADO_DE_AU,CONTRATO:P.25.RMR.776; B/Q 118-2025-519: MINERAL CONCENTRADO DE ORO, HUMEDAD= 11.48226% (INF.AHK NO.AHKS-2025-580). ORO= 7.93G/TM (FA-GRAV), PLATA= 96.04G/TM (FA-AAS),</t>
  </si>
  <si>
    <t xml:space="preserve">CONCENTRADO_DE_AU;CONTRATO:No. 2025-1 PAGABLES:AU,AG PENALIZABLES:NO_APLICA
AG4442.55G/TM,AU119.7G/TM,CU1.86%,</t>
  </si>
  <si>
    <t xml:space="preserve">CONCENTRADO_DE_AU;CONTRATO:LMGF25-002-AUCU PAGABLE;AU,AG,CU PENALIZABLES;NO_APLICA
CU12.50%,AG359G/TM,AU35.70G/TM</t>
  </si>
  <si>
    <t xml:space="preserve">CONCENTRADO_DE_AU;CONTRATO:LMGF25-002-AUCU PAGABLE;AU,AG,CU PENALIZABLES;NO_APLICA
CU15.42%,AG409G/TM,AU35.15G/TM</t>
  </si>
  <si>
    <t xml:space="preserve">CONCENTRADO DE ORO, CONTRATO: BAUC1192 PAGABLES:CU, AG, AU, PENALIZABLES:AS AU16.6G/TM, AG261G/TM, CU17.33%, AS 2.91%</t>
  </si>
  <si>
    <t xml:space="preserve">Sí</t>
  </si>
  <si>
    <t xml:space="preserve">MINERAL DE ORO EN _-BQ 632:: 	MINERAL DE ORO MINERAL TRITURADO DE ORO, HUMEDAD= 0.79% (OLC).	ORO= 6.77 G/TM (FA-GRAV), PLATA= 29.167 G/TM (FA-GRAV), ZINC= 0.235% (AAS).
Uso :	RECUPERACIÓN DE METALES</t>
  </si>
  <si>
    <t xml:space="preserve">CONCENTRADO_DE_AU, CONTRATO:.P100644/0023 26 27 PAGABLES: AU,AG,CU PENALIZABLES:AS_-BQ 651:: 	CONCENTRADO DE ORO 	MINERAL CONCENTRADO DE ORO, HUMEDAD= 5.52321% (INF. AHK N°: AHKS-2025-753).</t>
  </si>
  <si>
    <t xml:space="preserve">CONCENTRADO_DE_AG/AU. BQ 118-2025-000764. MINERAL CONCENTRADO DE ORO,HUMEDAD= 11.30943%(INF. AHKS-2025-773). ORO=7.23G/TM(FA-GRAV), PLATA=70.275G/TM(AAS), ZINC=6.593%(AAS), PLOMO=2.768%(AAS).</t>
  </si>
  <si>
    <t xml:space="preserve">CONCENTRADO DE ORO, CONTRATO: BAUC1208 PAGABLES:CU, AG, AU, PENALIZABLES:AS AU18.2/TM, AG271G/TM, CU16.55%, AS3.28%</t>
  </si>
  <si>
    <t xml:space="preserve">CONCENTRADO_DE_AU;CONTRATO:LMGF25-003-AUCU PAGABLE;AU,AG,CU PENALIZABLES;NO_APLICA
AG555G/TM,CU10.45%,AU85.61G/TM</t>
  </si>
  <si>
    <t xml:space="preserve">CONCENTRADO_DE_AU;CONTRATO:LMGF25-003-AUCU PAGABLE;AU,AG,CU PENALIZABLES;NO_APLICA
AG555G/M,CU10.45%,AU85.61G/TM</t>
  </si>
  <si>
    <t xml:space="preserve">CONCENTRADO_DE_AU;CONTRATO;MTSAU25023 PAGABLE;CU;AG;AU PENALIZABLE_NO_APLICA
AS2.76%,CU7.94%,AG188G/TM,AU15.40</t>
  </si>
  <si>
    <t xml:space="preserve">CONCENTRADO_DE_AU;CONTRATO:P.25.RMR.784 PAGABLES:AU,AG PENALIZABLES:NO_APLICA
AG175G/TM,AU22.7G/TM</t>
  </si>
  <si>
    <t xml:space="preserve">CONCENTRADO DE ORO, HUMEDAD= 6.28581 % (AHKS:  AHKS-2025-1230) COBRE= 15.82 % VOL, PLATA= 323 G/TM, ORO= 16.6 G/TM</t>
  </si>
  <si>
    <t xml:space="preserve">CONCENTRADO_DE_AU,CONTRATO:P.25.RMR.776 PAGABLES:AU,AG PENALIZABLES:AS,PB,ZN_- BQ 962:: CONCENTRADO DE ORO MINERAL CONCENTRADO DE ORO, HUMEDAD=10.73100% (INF. INSPECTORATE NO: LMP2584089) ORO=7.77G/TM</t>
  </si>
  <si>
    <t xml:space="preserve">CONCENTRADO DE ORO (Au) PAGABLES: Au, Ag, Cu, EN_SACAS; B.Q.: ORO=12.2 G/TM (FA-GRAV), PLATA=ND (AAS), COBRE=1.972% (AAS)</t>
  </si>
  <si>
    <t xml:space="preserve">CONCENTRADO_DE_AU;CONTRATO:LMGF25-002-AUCU PAGABLE;AU,AG,CU PENALIZABLES;NO_APLICA
CU10.81%,AU27.66G/TM,AG479G/TM</t>
  </si>
  <si>
    <t xml:space="preserve">CONCENTRADO_DE_AU, CONTRATO:.P100644/0031 PAGABLES: AU,AG PENALIZABLES:AS; B/Q 118-2025-001155: CONCENTRADO DE ORO. HUMEDAD=6.35444% (INF. AHK N° AHKS-2025-1482)ORO=24.61 G/TM (FA-GRAV), PLATA=158.62</t>
  </si>
  <si>
    <t xml:space="preserve">CONCENTRADO DE ORO AG 121G/MT, CU 0.534%, AU 54.93G/MT 22.942TMS, 23.160TMH,0.94%H, USD $ 5898.00/TMS INFORME DE ENSAYO LMA2586582</t>
  </si>
  <si>
    <t xml:space="preserve">CONCENTRADO_DE_AU,CONTRATO:P.25.RMR.776 PAGABLE:AU,AG PENALIZABLES:AS,PB,ZN_-BQ 1187:: CONCENTRADO DE ORO MINERAL CONCENTRADO DE ORO. HUMEDAD=10.90250% (INF. AHK N° AHKS-2025-1555)</t>
  </si>
  <si>
    <t xml:space="preserve">CONCENTRADO_DE_AU;CONTRATO; MTSAU25023 PAGABLE;AU,AG,CU PENALIZABLE_NO_APLICA AS2.48%,CU8.54%,AG273G/TM,AU028.72G/TM</t>
  </si>
  <si>
    <t xml:space="preserve">CONCENTRADO_DE_AU;CONTRATO:P100.01219 PAGABLES_CU,AG,AU PENALIZABLES;AS,SB,BI.PB,ZN,HG SB0.29%,AS4.89%,CU15.56%,PB0.25%,ZN0.76%,AG474G/TM</t>
  </si>
  <si>
    <t xml:space="preserve">CONCENTRADO_DE_AU,CONTRATO:P.25.RMR.776 PAGABLES: AU,AG PENALIZABLES: AS,PB,ZN</t>
  </si>
  <si>
    <t xml:space="preserve">CONCENTRADO_DE_AU,CONTRATO:P.25.RMR.776 PAGABLE:AU,AG PENALIZABLES:AS,PB,ZN_-BQ 1334:: 	CONCENTRADO DE ORO MINERAL CONCENTRADO DE ORO. HUMEDAD=11.17161% (INF. INSPECTORATE N° LMP2587512)</t>
  </si>
  <si>
    <t xml:space="preserve">CONCENTRADO_DE_AU,CONTRATO:P.25.RMR.776 PAGABLE:AU,AG PENALIZABLES:AS,PB,ZN_-BQ 1371::CONCENTRADO DE ORO MINERAL CONCENTRADO DE ORO. HUMEDAD=11.35496% (INF. INSPECTORATE N° LMP2587836)</t>
  </si>
  <si>
    <t xml:space="preserve">CONCENTRADO_DE_AU;CONTRATO:LMGF25-002-AUCU PAGABLE;AU,AG,CU PENALIZABLES;NO_APLICA
CU11.44%,AG351G/TM,AU21.89G/TM</t>
  </si>
  <si>
    <t xml:space="preserve">CONCENTRADO DE ORO ELEMENTOS PAGABLES: CU, AG, AU ELEMENTOS PENALIZABLES: AS, SB, BI, PB, ZN, HG</t>
  </si>
  <si>
    <t xml:space="preserve">CONCENTRADO DE ORO ELEMENTOS PAGABLES:CU, AG, AU ELEMENTOS PENALIZADOS: AS, SB, BI, PB, ZN, HG</t>
  </si>
  <si>
    <t xml:space="preserve">CONCENTRADO_DE_AU, B/Q N° 118-2026-000155: CONCENTRADO DE ORO HUMEDAD=10.16663% (INF. AHK N° AHKS-2026-126), ORO=7.65 G/TM (FA-GRAV), PLATA=125.00 G/TM (FA-GRAV), PLOMO=2.745% (AAS), ZINC=4.371% (AAS)</t>
  </si>
  <si>
    <t xml:space="preserve">CONCENTRADO_DE_AU,CONTRATO:P.25.RMR.776_-BQ 211::CONCENTRADO DE ORO MINERAL CONCENTRADO DE ORO. HUMEDAD=11.02187% (INF. AHK N° AHKS-2026-159) ORO=7.30 G/TM (FA-GRAV), PLATA=83.873 G/TM (AAS),</t>
  </si>
  <si>
    <t xml:space="preserve">CONCENTRADO_DE_AU,CONTRATO:P.25.RMR.776 _-BQ 274::CONCENTRADO DE ORO 	MINERAL CONCENTRADO DE ORO. HUMEDAD=10.70438% (INF. AHK N° AHKS-2026-197) ORO=9.20 G/TM (FA-GRAV), PLATA=90.77 G/TM (FA-GRAV),</t>
  </si>
  <si>
    <t xml:space="preserve">CONCENTRADO_DE_AU,CONTRATO:P.25.RMR.776 _-BQ 366::CONCENTRADO DE ORO MINERAL CONCENTRADO DE ORO. HUMEDAD=11.29639% (INF. AHK N° AHKS-2026-291)	ORO=6.79 G/TM (FA-GRAV), PLATA=87.04 G/TM (FA-GRAV),</t>
  </si>
  <si>
    <t xml:space="preserve">CONCENTRADO DE ORO, CONTRATO: BAUC0483 / AU-PE-25-05 PAGABLES:AU, AG, CU, PENALIZABLES:AS AU18.5G/TM, AG363G/TM, CU15.67%, AS 3.06%</t>
  </si>
  <si>
    <t xml:space="preserve">CONCENTRADO_DE_AU;CONTRATO:LMGF25-002-AUCU PAGABLE;AU,AG,CU PENALIZABLES;NO_APLICA
CU11.87%,AG336G/TM,AU24.36G/TM</t>
  </si>
  <si>
    <t xml:space="preserve">MINERAL_DE_AU EN BIG BAGS ELEMENTO: AU_- BQ 520:: MINERAL DE ORO, MINERAL DE ORO, HUMEDAD= 8.47% (INF.DLC). ORO= 5.65G/TM (FA-GRAV), PLATA= 6.049G/TM (FA-AAS)
Uso :	RECUPERACION DE METALES</t>
  </si>
  <si>
    <t xml:space="preserve">CONCENTRADO_DE_AU;CONTRATO; MTSAU24016 PAGABLE;CU;AG;AU PENALIZABLE_NO_APLICA
CU0.15%,AG93G/TM,AU0.64G/TM,PB0.46%</t>
  </si>
  <si>
    <t xml:space="preserve">CONCENTRADO DE ORO AU ELEMENTOS PAGABLES: CU, AG, AU ELEMENTO PENALIZABLES: AS</t>
  </si>
  <si>
    <t xml:space="preserve">235</t>
  </si>
  <si>
    <t xml:space="preserve">Aduana 235 (nombre por confirmar)</t>
  </si>
  <si>
    <t xml:space="preserve">20100008824</t>
  </si>
  <si>
    <t xml:space="preserve">MUESTRAS DE MINERAL LIXIVIADO DE ORO CAJAS, UN 3077, CLASE 9 MSVC</t>
  </si>
  <si>
    <t xml:space="preserve">MUESTRAS DE MINERAL LIXIVIADO DE ORO BIDONES, UN 3077, CLASE 9 MSVC</t>
  </si>
  <si>
    <t xml:space="preserve">CONCENTRADO_DE_AU;CONTRATO:IC P100.01219 PAGABLES_CU,AG,AU PENALIZABLES;SB,AS,BI,PB,ZN,HG,
SB0.39%,AS5.12%,BI0.018%,CU15.22%,PB0.33,ZN0.82%,HG39PM,AG430G/TM,AU66.6G/TM</t>
  </si>
  <si>
    <t xml:space="preserve">MINERAL DE PLATA(146.00 G/TN), ORO(5.67 G/TN), MINERAL DE METALES PRECIOSOS (PRECIOUS METAL ORES) EN BIG BAG, CONTRATO N0. YMSGST20241127-8-1 BQ: 370 - 2025 - 000033  MINERAL TRITURADO DE ORO.</t>
  </si>
  <si>
    <t xml:space="preserve">CONCENTRADO_DE_AU,CONTRATO:P.25.RMR.776 PAGABLES: AU,AG PENALIZABLES: AS,PB,ZN//BQ36 H=12,43190% ORO=7,88G/TM(FA-GRAV), PLATA=74,857G/TM(AAS), PLOMO=2,920%(AAS), ZINC=3,847%(AAS), ARSÉNICO=6,495%(AAS)</t>
  </si>
  <si>
    <t xml:space="preserve">CONCENTRADO_DE_AU;CONTRATO:P100.01219 PAGABLES_CU,AG,AU PENALIZABLES;AS,SB,BI.PB,ZN,HJ
SB0.49%,AS4.74%,CU15.29%,PB0.41%,ZN1.20%,BI100PPM,HG29PPM,AG478G/TM,AU75.1G/TM</t>
  </si>
  <si>
    <t xml:space="preserve">CONCENTRADOS DE ORO; CONTRATO SC-LIMA-CONC-202501 PAGABLES:AG;AU;CU CU 9.45%, AG 554G/TM, AU 17.4G/TM INFORME DE ENSAYO S262759</t>
  </si>
  <si>
    <t xml:space="preserve">CONCENTRADO_DE_AU;CONTRATO:LMGF25-006-AUCU PAGABLE;AU,AG,CU PENALIZABLES;NO_APLICA
CU11.52%,AG314G/TM,AU69.22G/TM,</t>
  </si>
  <si>
    <t xml:space="preserve">MINERAL_GRANULADO_DE_AU:CONTRATO_JRML250815 ELEMENTOS_PAGABLES:AU NO_HAY_ELEMENTOS_PENALIZABLES</t>
  </si>
  <si>
    <t xml:space="preserve">CONCENTRADO_DE_AU,CONTRATO:P.25.RMR.776 _-BQ 56-2026:: CONCENTRADO DE ORO MINERAL CONCENTRADO DE ORO. HUMEDAD=9.89433% (INF. AHK N° AHKS-2026-028)ORO=7.93 G/TM (FA-GRAV), PLATA=125.815 G/TM (AAS),</t>
  </si>
  <si>
    <t xml:space="preserve">CONCENTRADO_DE_AU, B/Q N° 118-2026-000121: CONCENTRADO DE ORO, HUMEDAD=10.93073%, ORO=7.44 G/TM, PLATA=112.404 G/TM, PLOMO=2.775%, ZINC=4.024%, ARSÉNICO=5.679%, USO: RECUPERACIÓN DE METALES</t>
  </si>
  <si>
    <t xml:space="preserve">CONCENTRADO DE ORO PAGABLES: Au, Ag, Cu, EN SACAS</t>
  </si>
  <si>
    <t xml:space="preserve">CONCENTRADO DE ORO (Au) PAGABLES: Au, Ag, Cu, EN SACAS</t>
  </si>
  <si>
    <t xml:space="preserve">CONCENTRADO_DE_AU,CONTRATO:P.25.RMR.776_-BQ 837::CONCENTRADO DE ORO MINERAL CONCENTRADO DE ORO. HUMEDAD=10.92035% (INF. INSPECTORATE N° LMP2586705)ORO=7.65 G/TM (FA-GRAV), PLATA=73.094 G/TM (AAS),</t>
  </si>
  <si>
    <t xml:space="preserve">CONCENTRADO DE ORO ELEMENTOS PAGABLES: CU, AG, AU ELEM,ENTOS PENALIZABLES: AS, SB, BI, PB,ZN,HG</t>
  </si>
  <si>
    <t xml:space="preserve">CONCENTRADO DE ORO ELEMENTOS PAGABLES: CU, AG, AU ELEMENTOS PENALIZABLES: AS, SB, BI, PB,ZN,HG</t>
  </si>
  <si>
    <t xml:space="preserve">CONCENTRADO_DE_AU,CONTRATO:P.25.RMR.776 PAGABLE:AU,AG PENALIZABLES:AS,PB,ZN_-BQ 1369:: 	CONCENTRADO DE ORO MINERAL CONCENTRADO DE ORO. HUMEDAD=10.44786% (INF. INSPECTORATE N° LMP2587858)</t>
  </si>
  <si>
    <t xml:space="preserve">CONCENTRADO_DE_AU,CONTRATO:ACP25P5-005/01 PAGABLE:AU,AG PENALIZABLES: NO APLICA
AG131G/TM,AU21.9G/TM,H2O4.74590%,TMH782.760,TMS745.611</t>
  </si>
  <si>
    <t xml:space="preserve">CONCENTRADO_DE_AU,CONTRATO:P.25.RMR.856 PAGABLE:AU,AG PENALIZABLES:AS_-BQ 1418:: 	CONCENTRADO DE ORO MINERAL CONCENTRADO DE ORO. HUMEDAD=11.03252% (INF. AHK N° AHKS-2025-1833)</t>
  </si>
  <si>
    <t xml:space="preserve">Huánuco</t>
  </si>
  <si>
    <t xml:space="preserve">CONCENTRADO_DE_AU;CONTRATO:8472301 - IC PAGABLES:AU,AG,PB PENALIZABLES:NO_APLICA
PB34.58%,AG1340G/TM,AU17.9G/TM</t>
  </si>
  <si>
    <t xml:space="preserve">CONCENTRADO_DE_AU,CONTRATO:P.25.RMR.776_-BQ 000004-2026::CONCENTRADO DE ORO 	MINERAL CONCENTRADO DE ORO. HUMEDAD=10.66968% (INF. INSPECTORATE N° LMP2588797) ORO=7.15 G/TM (FA-GRAV),</t>
  </si>
  <si>
    <t xml:space="preserve">CONCENTRADO_DE_AU,CONTRATO:P.25.RMR.776 _-BQ 54-2026:: CONCENTRADO DE ORO MINERAL CONCENTRADO DE ORO. HUMEDAD=10.76388% (INF. AHK N° AHKS-2026-030) 	ORO=7.30 G/TM (FA-GRAV), PLATA=120.12 G/TM (FA-GRAV</t>
  </si>
  <si>
    <t xml:space="preserve">CONCENTRADO_DE_AU;CONT: No. 2025-1 PAGABLE;AU,AG PENALIZABLES:NO_APLICA
AG3364G/TM,AU109.0G/TM</t>
  </si>
  <si>
    <t xml:space="preserve">CONCENTRADO_DE_AU, CONTRATO:.30/12/2024_-BQ 58-2026::	CONCENTRADO DE ORO 	MINERAL CONCENTRADO DE ORO. HUMEDAD=5.57152% (INF AHK N° AHKS-2026-054)ORO=42.24 G/TM (FA-GRAV), PLATA=157.90 G/TM (FA-GRAV),</t>
  </si>
  <si>
    <t xml:space="preserve">CONCENTRADO_DE_AU,CONTRATO:P.25.RMR.776 PAGABLES: AU,AG PENALIZABLES: AS,PB,ZN / CONCENTRADO DE ORO / MINERAL CONCENTRADO DE ORO. HUMEDAD=12.70625% (INF. INSPECTORATE N° LMP2690829)</t>
  </si>
  <si>
    <t xml:space="preserve">CONCENTRADO_DE_AU,CONTRATO:P.25.RMR.776_-BQ 332:: CONCENTRADO DE ORO 	MINERAL CONCENTRADO DE ORO. HUMEDAD=10.35659% (INF. AHK N° AHKS-2026-261) ORO=7.10 G/TM (FA-GRAV), PLATA=108.36 G/TM (FA-GRAV),</t>
  </si>
  <si>
    <t xml:space="preserve">CONCENTRADOS DE ORO A GRANEL</t>
  </si>
  <si>
    <t xml:space="preserve">CONCENTRADO_DE_AU,CONTRATO:P.25.RMR.947_-BQ 474::CONCENTRADO DE ORO.	MINERAL CONCENTRADO DE ORO. HUMEDAD= 13.85554% (INF. AHK N° AHKS-2026-396)	ORO= 16.99 G/TM (FA-GRAV), PLATA= 130.64 G/TM (FA-GRAV),</t>
  </si>
  <si>
    <t xml:space="preserve">CONCENTRADO DE ORO, CONTRATO: BAUC1261 / AU-PE-26-06 PAGABLES: CU, AG, AU, PENALIZABLES: AS, SB, BI, PB, ZN, HG AU22.1G/TM, AG251G/TM, CU18.46%, AS2.62%, SB0.10%, BI170PPM, PB0.25%, ZN0.73%, HG18PPM</t>
  </si>
  <si>
    <t xml:space="preserve">CONCENTRADO_DE_AU,CONTRATO:P.25.RMR.776 _-BQ 854:: CONCENTRADO DE ORO 	MINERAL CONCENTRADO DE ORO. HUMEDAD=11.89259% (INF. AHK N° AHKS-2026-721)ORO=7.63 G/TM (FA-GRAV), PLATA=79.081 G/TM (AAS),</t>
  </si>
  <si>
    <t xml:space="preserve">CONCENTRADO_DE_AU,CONTRATO:P.25.RMR.776 _-BQ 952::CONCENTRADO DE ORO MINERAL CONCENTRADO DE ORO. HUMEDAD=13.73279% (INF. SGS N° MS2602089/MS260091)	ORO=7.18 G/TM (FA-GRAV), PLATA=96.63 G/TM (FA-GRAV),</t>
  </si>
  <si>
    <t xml:space="preserve">CONCENTRADO_DE_AU, CONTRATO:. P100644/0052A _-BQ 900::	CONCENTRADO DE ORO MINERAL CONCENTRADO DE ORO. HUMEDAD=3.03564% (INF. AHK N° AHKS-2026-738)ORO=18.12 G/TM (FA-GRAV), PLATA=232.74 G/TM (FA-GRAV),</t>
  </si>
  <si>
    <t xml:space="preserve">CONCENTRADO DE ORO, CONTRATO: BAUC1262A / AU-PE-26-07A PAGABLES:CU,AG,AU, PENALIZABLES:AS,SB,BI,PB,ZN,HG AU16.60G/TM,AG242G/TM,CU17.22%,AS3.05%,SB0.15%,BI0.015%,PB0.33%,ZN1.02%,HG22PPM</t>
  </si>
  <si>
    <t xml:space="preserve">CONCENTRADO DE ORO-_ BQ:MINERAL CONCENTRADO DE ORO HUMEDAD=5.97583% (INF. AHK N° AHKS-2026-883) ORO=12.87 G/TM (FA-GRAV), PLATA=181.45 G/TM (FA-GRAV)</t>
  </si>
  <si>
    <t xml:space="preserve">CONCENTRADO_DE_AU,CONTRATO:P.25.RMR.776_-BQ 1089:: CONCENTRADO DE ORO MINERAL CONCENTRADO DE ORO. HUMEDAD=12.50831% (INF. SGS N° MS2602599) ORO=6.73 G/TM (FA-GRAV), PLATA=78.76 G/TM (FA-GRAV),</t>
  </si>
  <si>
    <t xml:space="preserve">CONCENTRADO_DE_AU,CONTRATO:P.25.RMR.776_-BQ 1079::CONCENTRADO DE ORO MINERAL CONCENTRADO DE ORO. HUMEDAD=12.39238% (INF. AHK N° AHKS-2026-884)ORO=6.83 G/TM (FA-GRAV), PLATA=82.62 G/TM (FA-GRAV),</t>
  </si>
  <si>
    <t xml:space="preserve">CONCENTRADO_DE_AU;CONTRATO: _-BQ 1117::CONCENTRADO DE ORO MINERAL CONCENTRADO DE ORO. HUMEDAD= 2.68519% (INF. AHK N° AHKS-2026-916) ORO= 20.14 G/TM (FA-GRAV), PLATA= 175.16 G/TM (FA-GRAV),</t>
  </si>
  <si>
    <t xml:space="preserve">CONCENTRADO_DE_AU,CONTRATO:P.25.RMR.776_-BQ 1150::CONCENTRADO DE ORO 	MINERAL CONCENTRADO DE ORO, HUMEDAD= 11.86639% (INF. AHK NO. AHKS-2026-1012)ORO=6.76G/TM(FA-GRAV), PLATA=89.42G/TM(FA-GRAV),</t>
  </si>
  <si>
    <t xml:space="preserve">CONCENTRADO_DE_AU;CONTRATO;MTSAU26011 PAGABLE;CU;AG;AU PENALIZABLE_NO_APLICA
AS3.49%,CU7.57%,AG289G/TM,AU19.33G/TM</t>
  </si>
  <si>
    <t xml:space="preserve">CONCENTRADO_DE_AU, CONTRATO:.P100644/0033 34 PAGABLES: AU,AG,MINERAL CONCENTRADO DE ORO PENALIZABLES:AS,RSÉNICO=1.292% (AAS) ORO=56.05 G/TM (FA-GRAV), PLATA=109.05 G/TM</t>
  </si>
  <si>
    <t xml:space="preserve">CONCENTRADO_DE_AU;CONTRATO:LMGF25-006-AUCU PAGABLE;AU,AG,CU PENALIZABLES;NO_APLICA CU11.52%,AG314G/TM,AU69.22G/TM</t>
  </si>
  <si>
    <t xml:space="preserve">CONCENTRADO_DE_AU,CPMTRATO:2022CIC0008-P PAGABÑE:AU,AG,CU PENALIZABLES: NO_APLICA</t>
  </si>
  <si>
    <t xml:space="preserve">Callao</t>
  </si>
  <si>
    <t xml:space="preserve">MUESTRA DE MINERAL  ENVIO SIN CARACTER COMERCIAL PARA FINES DE INVESTIGACIONES METALURGICAS</t>
  </si>
  <si>
    <t xml:space="preserve">CONCENTRADO_DE_AU;CONTRATO: P100644/0035 0036 0038 PAGABLES:AU,AG PENALIZABLES: AS_-BQ 1312:: CONCENTRADO DE ORO MINERAL CONCENTRADO DE ORO. HUMEDAD=4.90920% (INF. AHK N° AHKS-2025-1709)</t>
  </si>
  <si>
    <t xml:space="preserve">CONCENTRADO_DE_AU;CONTRATO:8472301 - I PAGABLES:AU,AG,PB PENALIZABLES:NO_APLICA
PB36.34%,AG1615G/TM,AU18.7G/TM</t>
  </si>
  <si>
    <t xml:space="preserve">CONCENTRADO_DE_AU, CONTRATO:.P100644/0037 _-BQ 1368:: 	CONCENTRADO DE ORO MINERAL CONCENTRADO DE ORO. HUMEDAD=5.75827% (INF. AHK N° AHKS-2025-1769)ORO=23.66 G/TM (FA-GRAV),</t>
  </si>
  <si>
    <t xml:space="preserve">CONCENTRADO DE ORO A GRANEL, CONCENTRADO DE ORO HUMEDAD: 6.20402 %, INF. HK: AHKS2025-1817, COBRE= 14.52%, PLATA= 242 G/TM, ORO= 16.7 G/TM</t>
  </si>
  <si>
    <t xml:space="preserve">CONCENTRADO_DE_AU;CONTRATO:LMGF25-002-AUCU PAGABLE;AU,AG,CU PENALIZABLESNO_APLICA
CU10.91%,AG363G/TM,AU24.60G/TM</t>
  </si>
  <si>
    <t xml:space="preserve">CONCENTRADO_DE_AU,CONTRATO:P.25.RMR.776 PAGABLE:AU,AG PENALIZABLES:AS,PB,ZN</t>
  </si>
  <si>
    <t xml:space="preserve">CONCENTRADO_DE_AU,CONTRATO:P.25.RMR.776_-BQ 14-2026:: CONCENTRADO DE ORO MINERAL CONCENTRADO DE ORO. HUMEDAD=4.49638% (INF. INSPECTORATE N° LMP2588909)	ORO=7.20 G/TM (FA-GRAV), PLATA=106.31 G/TM</t>
  </si>
  <si>
    <t xml:space="preserve">CONCENTRADOS DE ORO</t>
  </si>
  <si>
    <t xml:space="preserve">CONCENTRADO_DE_AU, B/Q N° 118-2026-000132: CONCENTRADO DE ORO, HUMEDAD=10.31929%, ORO=7.75 G/TM (FA-GRAV), PLATA=135.652 G/TM (AAS), ARSÉNICO=5.570% (AAS), USO: RECUPERACIÓN DE METALES</t>
  </si>
  <si>
    <t xml:space="preserve">CONCENTRADO_DE_AU, B/Q N° 118-2026-000138: CONCENTRADO DE ORO, HUMEDAD=5.29311%, ORO=10.99 G/TM (FA-GRAV), PLATA=210.23 G/TM (FA-GRAV), ARSÉNICO=2.034% (AAS), USO: RECUPERACIÓN DE METALES</t>
  </si>
  <si>
    <t xml:space="preserve">CONCENTRADO_DE_AU, B/Q N° 118-2026-000156: CONCENTRADO DE ORO, HUMEDAD=9.97419% (INF. AHK N° AHKS-2026-127), ORO=7.34 G/TM (FA-GRAV), PLATA=121.76 G/TM (FA-GRAV), PLOMO=2.807% (AAS), ZINC=4.282% (AAS)</t>
  </si>
  <si>
    <t xml:space="preserve">CONCENTRADO DE PLOMO_-BQ 168:: CONCENTRADO DE ORO MINERAL CONCENTRADO DE ORO. HUMEDAD=5.12136% (INF. SGS N° MS2600328). ORO=7.25 G/TM (FA-GRAV), PLATA=128.85 G/TM (FA-GRAV), COBRE=0.228% (AAS),</t>
  </si>
  <si>
    <t xml:space="preserve">CONCENTRADO DE ORO ELEMENTOS PAGABLES: CU, AG, AU ELEMENTO PENALIZABLES: AS, SB, BI, PB, ZN, HG</t>
  </si>
  <si>
    <t xml:space="preserve">CONCENTRADO_DE_AU;CONTRATO:8472301-IC PAGABLES:AU,AG,PB PENALIZABLES:NO_APLICA</t>
  </si>
  <si>
    <t xml:space="preserve">CONCENTRADOS DE PLOMO, MINERAL CONCENTRADO DE ORO.HUMEDAD=4.93776% (INF. AHK N° AHKS-2026-342). ORO=6.495 G/TM (FA-AAS), PLATA=168.67G/TM(FA-GRAV) COBRE=0.264% (AAS), PLOMO=0.979% (AAS),</t>
  </si>
  <si>
    <t xml:space="preserve">CONCENTRADO_DE_AU,CONTRATO:ACP25P5-005 _-BQ 562::CONCENTRADO DE ORO MINERAL CONCENTRADO DE ORO. HUMEDAD=6.09333% (INF. INTERTEK N° DH260410-2)ORO=16.72 G/TM (FA-GRAV), PLATA=92.70 G/TM (FA-GRAV)</t>
  </si>
  <si>
    <t xml:space="preserve">CONCENTRADO_DE_AU;CONTRATO:IC P100.01100 PAGABLES_AU,AG,CU PENALIZABLES;AS,SB,BI,PB,ZN,HG
SB0.09%,AS3.23%,CU10.86%,PB0.65%,ZN0.81%,AG186G/TM,AU24.0G/TM</t>
  </si>
  <si>
    <t xml:space="preserve">MINERAL DE ORO EN BIG BAGS AS 1.61%, AG 93G/TM, CU 0.973%, AU 12.26G/TM FE 30.62, S 41.57% 459.877TMS, 467.776TMH, 1.69%H, USD $1669.37/TMS</t>
  </si>
  <si>
    <t xml:space="preserve">MINERAL DE ORO EN BIG BAGS AS 1.46%, AG 67G/TM, CU 0.721%, AU 9.60G/TM 1125.584TMS, 1154.422TMH, 2.50%H, USD $1100.26/TMS INFORME DE ENSAYO LMA2692983</t>
  </si>
  <si>
    <t xml:space="preserve">CONCENTRADO_DE_AU,CONTRATO:P.25.RMR.776 _-BQ 569:: CONCENTRADO DE ORO 	MINERAL CONCENTRADO DE ORO. HUMEDAD=12.39794% (INF. INSPECTORATE N° LMP2692486) ORO=7.28 G/TM (FA-GRAV),</t>
  </si>
  <si>
    <t xml:space="preserve">MINERAL DE PLATA(147.00 G/TN), ORO(5.35 G/TN),MINERAL DE METALES PRECIOSOS (PRECIOUS METAL ORES) EN BIG BAG, CONTRATO N0. SHTSGST20250113-19-1</t>
  </si>
  <si>
    <t xml:space="preserve">CONCENTRADO_DE_AU; B/Q N° 118-2026-000659: MINERAL CONCENTRADO DE ORO. HUMEDAD=13.56332%, (INF. AHK N° AHKS-2026-603) ORO=6.67 G/TM, PLATA=103.26 G/TM, PLOMO=2.843%, ZINC=4.022%, ARSÉNICO=6.228%</t>
  </si>
  <si>
    <t xml:space="preserve">CONCENTRADO_DE_AU,CONTRATO:P.25.RMR.776 _-BQ 729::CONCENTRADO DE ORO 	MINERAL CONCENTRADO DE ORO. HUMEDAD=14.95651% (INF. AHK N° AHKS-2026-639)	ORO=6.92 G/TM (FA-GRAV), PLATA=101.65 G/TM (FA-GRAV),</t>
  </si>
  <si>
    <t xml:space="preserve">CONCENTRADO_DE_AU,CONTRATO:P.25.RMR.776_-BQ 731::CONCENTRADO DE ORO 	MINERAL CONCENTRADO DE ORO. HUMEDAD=15.06332% (INF. AHK N° AHKS-2026-636)ORO=6.96 G/TM (FA-GRAV), PLATA=156.37 G/TM (FA-GRAV),</t>
  </si>
  <si>
    <t xml:space="preserve">CONCENTRADO DE ORO_-BQ 898::CONCENTRADO DE ORO MINERAL CONCENTRADO DE ORO. HUMEDAD=6.44692% (INF. AHK N° AHKS-2026-740ORO=14.14 G/TM (FA-GRAV), PLATA=182.85 G/TM (FA-GRAV)</t>
  </si>
  <si>
    <t xml:space="preserve">CONCENTRADO_DE_AU,CONTRATO:P.25.RMR.776_-BQ 953::CONCENTRADO DE ORO MINERAL CONCENTRADO DE ORO. HUMEDAD=13.47976% (INF. SGS N° MS2602151)ORO=7.31 G/TM (FA-GRAV), PLATA=97.85 G/TM (FA-GRAV),</t>
  </si>
  <si>
    <t xml:space="preserve">CONCENTRADO_DE_AU,CONTRATO:P.25.RMR.776_-BQ 965:: CONCENTRADO DE ORO 	MINERAL CONCENTRADO DE ORO. HUMEDAD=11.96152% (INF. AHK N° AHKS-2026-782) ORO=7.03 G/TM (FA-GRAV), PLATA=79.44 G/TM (FA-GRAV),</t>
  </si>
  <si>
    <t xml:space="preserve">CONCENTRADO_DE_AU,CONTRATO:P.25.RMR.776_-BQ 978::CONCENTRADO DE ORO MINERAL CONCENTRADO DE ORO. HUMEDAD=12.69103% (INF. AHK N° AHKS-2026-789)ORO=6.96 G/TM (FA-GRAV), PLATA=95.11 G/TM (FA-GRAV),</t>
  </si>
  <si>
    <t xml:space="preserve">CONCENTRADO_DE_AU,CONTRATO:P.26.RMR.947_-BQ 1098::CONCENTRADO DE ORO MINERAL CONCENTRADO DE ORO. HUMEDAD=13.20063% (INF. AHK N° AHKS-2026-896)	ORO=14.60 G/TM (FA-GRAV), PLATA=138.21 G/TM (FA-GRAV),</t>
  </si>
  <si>
    <t xml:space="preserve">CONCENTRADO_DE_AU,CONTRATO:P.25.RMR.776_-BQ 1105::CONCENTRADO DE ORO MINERAL CONCENTRADO DE ORO. HUMEDAD= 11.95027 (INF. AHK N° AHKS-2026-914) ORO= 6.72 G/TM (FA-GRAV), PLATA= 80.32 G/TM (FA-GRAV),</t>
  </si>
  <si>
    <t xml:space="preserve">CONCENTRADO_DE_AU,CONTRATO:P.25.RMR.776_-BQ 1109:: CONCENTRADO DE ORO MINERAL CONCENTRADO DE ORO. HUMEDAD=12.29333% (INF. AHK N° AHKS-2026-913) ORO=6.52 G/TM (FA-GRAV), PLATA=78.98 G/TM (FA-GRAV),</t>
  </si>
  <si>
    <t xml:space="preserve">CONCENTRADO_DE_AU,CONTRA CLIFFORD MAERSK PAGABLES: AU,AG,PB PENALIZABLES:NO APLICA
AG1011G/TM,AU16.4G/TM</t>
  </si>
  <si>
    <t xml:space="preserve">CONCENTRADO DE ORO BQ: MINERAL CONCENTRADO DE ORO, HUMEDAD=5.25771% (INF. AHK NO. AHKS-2026-1026) ORO=13.92G/TM(FA-GRAV), PLATA=183.70 G/TM(FA-GRAV)</t>
  </si>
  <si>
    <t xml:space="preserve">CONCENTRADO DE PLOMO_-BQ 1174::CONCENTRADO DE ORO MINERAL CONCENTRADO DE ORO, HUMEDAD=5.80735% (INF. AHK NO. AHKS-2026-1023) ORO=6.42G/TM (FA-GRAV), PLATA=173.62G/TM(FA-GRAV), PLOMO=1.083%(AAS).</t>
  </si>
  <si>
    <t xml:space="preserve">CONCENTRADO_DE_AU, B/Q N° 118-2026-001229: MINERAL CONCENTRADO DE ORO, HUMEDAD=13.72280% (INF. AHK NO. AHKS-2026-1073), ORO=6.32G/TM(FA-GRAV), PLATA=100.43G/TM(FA-GRAV), ARSÉNICO=7.699%(AAS),</t>
  </si>
  <si>
    <t xml:space="preserve">082</t>
  </si>
  <si>
    <t xml:space="preserve">Salaverry</t>
  </si>
  <si>
    <t xml:space="preserve">20101409199</t>
  </si>
  <si>
    <t xml:space="preserve">CONCENTRADO_DE_AU;CONTRATO_S_HMP26AUCONCS00011 PAGABLES:AU;AG PENALIZABLES</t>
  </si>
  <si>
    <t xml:space="preserve">CONCENTRADO_DE_AU,_-BQ 1340::CONCENTRADO DE ORO 	MINERAL CONCENTRADO DE ORO. HUMEDAD=4.85815% (INF. SGS N° MS2603547)ORO=22.00 G/TM (FA-GRAV), PLATA=89.16 G/TM (FA-GRAV)
Uso :	RECUPERACIÓN DE METALES</t>
  </si>
  <si>
    <t xml:space="preserve">Lambayeque</t>
  </si>
  <si>
    <t xml:space="preserve">CONCENTRADO_DE_AU;CONTRATO:IC P100.01028 PAGABLES_AU,AG,CU PENALIZABLES;AS,SB,BI,PB,ZN,HG
SB0.07%,AS3.19%,CU9.77%,PB0.24%,ZN0.36%,AG137G/TM,AU22.0G/TM</t>
  </si>
  <si>
    <t xml:space="preserve">Huancavelica</t>
  </si>
  <si>
    <t xml:space="preserve">CONCENTRADO_DE_AU;CONTRATO:IC P100.01590 PAGABLES_AU,AG,CU PENALIZABLES;AS,SB,BI,PB,ZN,HG
SB0.07%,AS2.85%,CU5.92%,PB0.36%,ZN0.48%,AG179G/TM,AU18.5G/TM</t>
  </si>
  <si>
    <t xml:space="preserve">CONCENTRADO_DE_AU_-BQ 1388:: CONCENTRADO DE ORO MINERAL CONCENTRADO DE ORO, HUMEDAD=12.57863% (INF. SGS NO. MS2603813/MS2603851) ORO=6.31G/TM(FA-GRAV), PLATA=135.60G/TM(FA-GRAV), PLOMO=2.850%(AAS),</t>
  </si>
  <si>
    <t xml:space="preserve">CONCENTRADO DE ORO_. BQ: 118-2026-1399 MINERAL CONCENTRADO DE ORO, HUMEDAD=7.99006% (INF. AHK NO.: AHKS-2026-1302), ORO=10.22G/TM(FA-GRAV), PLATA=137.04G/TM(FA-GRAV).</t>
  </si>
  <si>
    <t xml:space="preserve">BOLETIN QUIMICO 1409::CONCENTRADO DE ORO MINERAL CONCENTRADO DE ORO, HUMEDAD=9.09550% (INF. SGS NO. MS2603988) ORO=20.99G/TM(FA-GRAV), PLATA=168.77G/TM(FA-GRAV), ARSÉNICO=2.243%(AAS)</t>
  </si>
  <si>
    <t xml:space="preserve">CONCENTRADO_DE_AU;CONTRATO; MTSAU26028 PAGABLE;AU,AG,CU PENALIZABLE_NO_APLICA</t>
  </si>
  <si>
    <t xml:space="preserve">CONCENTRADO_DE_AU, CONTRATO:P101445/0001B PAGABLES: AU,AG,CU PENALIZABLES:AS</t>
  </si>
  <si>
    <t xml:space="preserve">CONCENTRADO_DE_AU;CONTRATO; MTSAU26011 PAGABLE;AU,AG,CU PENALIZABLE_NO_APLICA</t>
  </si>
  <si>
    <t xml:space="preserve">CONCENTRADO_DE_AU;CONTRATO S_HMP26AUCONCS00013 PAGABLES:AG, AU PENALIZABLES:NO APLICA</t>
  </si>
  <si>
    <t xml:space="preserve">CONCENTRADO_DE_AU;CONTRATO:P100.01460-IC PAGABLES_AU,AG,CU,PB,SB.BI,ZN PENALIZABLES;AS,SHG</t>
  </si>
  <si>
    <t xml:space="preserve">MINERAL DE ORO;CONTRATO:PERU-GO-CX-HLY-20260801 ELEMENTOS_PAGABLES:AU NO_HAY_ELEMENTOS_PENALIZABLES</t>
  </si>
  <si>
    <t xml:space="preserve">CONCENTRADO_DE_AU</t>
  </si>
  <si>
    <t xml:space="preserve">CONCENTRADO_DE_AU,CONTRA 11078973 PAGABLES: AU,AG,PB PENALIZABLES:NO APLICA</t>
  </si>
  <si>
    <t xml:space="preserve">CONCENTRADO_DE_AU,CONTRATO:P.25.RMR.776 _-BQ 417:: CONCENTRADO DE ORO MINERAL CONCENTRADO DE ORO. HUMEDAD=11.89987% (INF. AHK N° AHKS-2026-341)	ORO=7.02 G/TM (FA-GRAV), PLATA=93.27 G/TM (FA-GRAV),</t>
  </si>
  <si>
    <t xml:space="preserve">CONCENTRADO_DE_AU,CONTRATO:P.25.RMR.776_-BQ 515::CONCENTRADO DE ORO.	MINERAL CONCENTRADO DE ORO. HUMEDAD= 5.56771 % (INF. INSPECTORATE N° LMP2692150 ).	ORO= 6.58 G/TM (FA-GRAV), PLATA= 93.608 G/TM</t>
  </si>
  <si>
    <t xml:space="preserve">CONCENTRADO_DE_AU,CONTRATO:P.25.RMR.776 _-BQ 574:: CONCENTRADO DE ORO MINERAL CONCENTRADO DE ORO. HUMEDAD=13.19866% (INF. INSPECTORATE N° LMP2692464) ORO=7.17 G/TM (FA-GRAV), PLATA=99.58 G/TM (FA-GRAV</t>
  </si>
  <si>
    <t xml:space="preserve">CONCENTRADO DE ORO, CONTRATO: BAUC1260 / AU-PE-26-05 PAGABLES:CU, AG, AU, PENALIZABLES:AS, SB, BI,PB, ZN, HG AU23.1G/TM, AG246G/TM, CU18.12%, AS2.71%, SB0.13%, BI240PPM, PB0.30%, ZN0.70%, HG18.00PPM</t>
  </si>
  <si>
    <t xml:space="preserve">20537280060</t>
  </si>
  <si>
    <t xml:space="preserve">MINERAL GRANULADO DE  ORO AU ONZ 0.3</t>
  </si>
  <si>
    <t xml:space="preserve">CONCENTRADO DE ORO_. BQ:MINERAL CONCENTRADO DE ORO HUMEDAD=6.44810% (INF. AHK N° AHKS-2026-765) ORO=14.08 G/TM (FA-GRAV), PLATA=187.77 G/TM (FA-GRAV)</t>
  </si>
  <si>
    <t xml:space="preserve">CONCENTRADO DE ORO, CONTRATO: BAUC1262B / AU-PE-26-07B PAGABLES:CU, AG, AU, PENALIZABLES:AS, SB, BI,PB, ZN, HG AU16.5G/TM, AG272G/TM, CU16.91%, AS3.36%, SB0.17%, BI0.024%, PB0.62%, ZN2.22%, HG37PPM</t>
  </si>
  <si>
    <t xml:space="preserve">CONCENTRADO_DE_AU;CONTRATO:IC P100.01100 PAGABLES_AU,AG,CU PENALIZABLES;AS,SB,BI,PB,ZN,HG
SB0.09%,AS3.19%,CU10.80%,PB0.65%,ZN0.82,AG184G/TM,AU24.8G/TM</t>
  </si>
  <si>
    <t xml:space="preserve">CONCENTRADO DE ORO CU 5.68%, PB 0.78%, ZN 0.12%, AG342G/TM, AU 37.6G/TM, PENALIZABLE AS 0.06% 52.321TMS, 55.778TMH, 6.19%H,USD $ 7241.49/TMS</t>
  </si>
  <si>
    <t xml:space="preserve">CONCENTRADO DE ORO, CONTRATO: BAUC1264A / AU-PE-26-09A PAGABLES:CU,AG,AU, PENALIZABLES:AS,SB,BI,PB,ZN,HG AU19.3G/TM,AG251G/TM,CU16.77%,AS3.23%,SB0.14%,BI250PPM,PB0.35%,ZN0.74%,HG19PPM</t>
  </si>
  <si>
    <t xml:space="preserve">CONCENTRADO DE ORO, CONTRATO: BAUC1264B / AU-PE-26-09B PAGABLES:CU,AG,AU, PENALIZABLES:AS,SB,BI,PB,ZN,HG AU18.0G/TM,AG220G/TM,CU17.17%,AS3.18%,SB0.11%,BI210PPM,PB0.29%,ZN0.59%,HG16PPM</t>
  </si>
  <si>
    <t xml:space="preserve">20480864469</t>
  </si>
  <si>
    <t xml:space="preserve">MINERAL DE PLATA EN BIG BAGS B/Q N° 118-2026-001227: MINERAL DE ORO - MINERAL TRITURADO DE ORO, HUMEDAD=23.36% (OLC), COBRE=0.103% AAS), ARSÉNICO=0.456%(AAS), ORO=2.73G</t>
  </si>
  <si>
    <t xml:space="preserve">CONCENTRADO_DE_AU;CONTRATO S_HMP26AUCONCS00010_-BQ 1172:: CONCENTRADO DE ORO 	MINERAL CONCENTRADO DE ORO, HUMEDAD=3.34767% (INF. AHK NO. AHKS-2026-1025)ORO=26.14G/TM(FA-GRAV), PLATA=207.55 G/TM</t>
  </si>
  <si>
    <t xml:space="preserve">CONCENTRADO_DE_AU;CONTRATO;MTSAU26011 PAGABLE;AU,AG,CU PENALIZABLE_NO_APLICA</t>
  </si>
  <si>
    <t xml:space="preserve">CONCENTRADO_DE_AU;CONTRATO:IC IC P100.01100 PAGABLES_AU,AG,CU PENALIZABLES;AS,SB,BI,PB,ZN,HG</t>
  </si>
  <si>
    <t xml:space="preserve">CONCENTRADO_DE_AU,CONTRA 10239384, 10670768 PAGABLES: AU,AG,CU PENALIZABLES:NO APLICA</t>
  </si>
  <si>
    <t xml:space="preserve">CONCENTRADO DE ORO, CONTRATO: BAUC1272 / AU-PE-26-16 PAGABLES:CU,AG,AU, PENALIZABLES:AS,SB,BI,PB,ZN,HG AU16.8G/TM,AG220G/TM,CU20.48%,AS2.63%,SB0.10%,BI58PPM,PB0.73%,ZN1.04%,HG17.00PPM</t>
  </si>
  <si>
    <t xml:space="preserve">MINERAL DE ORO EN BIG BAGS, PENALIZABLE : AS 1.62% AG 0.02%, CU 0.822%, AU 10.43G/TM 2281.609TMS, 2312.65TMH, 1.34%H, USD $ 1151.46/TMS</t>
  </si>
  <si>
    <t xml:space="preserve">CONCENTRADO_DE_AU;CONTRATO:IC P100.01028 PAGABLES_AU,AG,CU PENALIZABLES;AS,SB,BI,PB,ZN,HG
SB0.07%,AS3.20%,CU9.65%,PB0.26%,ZN0.35%,AG133G/TM,AU22.6G/TM</t>
  </si>
  <si>
    <t xml:space="preserve">CONCENTRADO_DE_AU_-BQ 1378:: CONCENTRADO DE ORO MINERAL CONCENTRADO DE ORO. HUMEDAD= 12.17153% (INF. AHK N° AHKS-2026-1283) ORO= 6.30 G/TM (FA-GRAV), PLATA= 119.56 G/TM (FA-GRAV), ZINC= 4.339% (AAS),</t>
  </si>
  <si>
    <t xml:space="preserve">MINERAL MOLIDO DE PLATA ELEMENTOS_PAGABLES:AG NO_HAY_ELEMENTOS_PENALIZABLES // Según BQ 370-2026-44 MINERAL TRITURADO DE ORO. HUMEDAD= 1.80% (OLC).</t>
  </si>
  <si>
    <t xml:space="preserve">CONCENTRADO_DE_AU;CONTRATO:IC IC P100.01100 PAGABLES_AU,AG,CU PENALIZABLES;AS,SB,BI,PB,ZN,HG
SB0.09%,AS2.80%,CU11.07%,CU11.07%,PB0.59%,ZN1.18%,AG234G/TM,AU20.0G/TM.</t>
  </si>
  <si>
    <t xml:space="preserve">CONCENTRADO DE ORO, CONTRATO: BAUC1271 / AU-PE-26-15 PAGABLES:CU,AG,AU, PENALIZABLES:AS,SB,BI,PB,ZN,HG AU16G/TM,AG200G/TM,CU10.50%,AS2.70%,SB0.30%,BI500PPM,PB0.60%,ZN1.50%,HG50PPM</t>
  </si>
  <si>
    <t xml:space="preserve">MINERAL DE ORO A GRANEL ELEMENTOS AU,AG
AG80G/TM,AU15.4G/TM</t>
  </si>
  <si>
    <t xml:space="preserve">CONCENTRADO DE ORO-.CONTRATO BYHLJJKCG20260618001 PAGABLES: CU, PB, ZN, AG, AU PENALIZABLES: AS CU8.34%, PB0.34%, ZN0.14%, AG447G/TM, AU35.1G/TM</t>
  </si>
  <si>
    <t xml:space="preserve">CONCENTRADO_DE_AU;CONTRATO;MTSAU26028 PAGABLE;AU,AG,CU PENALIZABLE_NO_APLICA
AS8.28%,AG157G/TM,CU5.05%,AU20.16G/TM,</t>
  </si>
  <si>
    <t xml:space="preserve">CONCENTRADO DE ORO, CONTRATO: AU-PE-26-10//BAUC1266 PAGABLES:CU,AG,AU, PENALIZABLES:AS,SB,BI,PB,ZN,HG AU23.1G/TM,AG151G/TM,CU10.22%,AS2.95%,SB0.06%,BI220PPM,PB0.29%,ZN0.42%,HG6PPM</t>
  </si>
  <si>
    <t xml:space="preserve">CONCENTRADO DE ORO - BQ: 118-2026-001287 MINERAL CONCENTRADO DE ORO, HUMEDAD=8.46377% (INF. AHK NO. AHKS-2026-1167) ORO=10.65G/TM(FA-GRAV), PLATA=138.78 G/TM(FA-GRAV)</t>
  </si>
  <si>
    <t xml:space="preserve">CONCENTRADO DE ORO, CONTRATO: BAUC1269 / AU-PE-26-13 PAGABLES:CU,AG,AU, PENALIZABLES:AS,SB,BI,PB,ZN,HG AU21.9G/TM,AG156G/TM,CU10.10%,AS3.35%,SB0.30%,BI500PPM,PB0.50%,ZN1.80%,HG50PPM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</si>
</sst>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#,##0"/>
    <numFmt numFmtId="167" formatCode="0.0%"/>
    <numFmt numFmtId="168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6F4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DDE6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FOB mensual (MM USD) y peso neto (miles TM)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Calculos!B1</c:f>
              <c:strCache>
                <c:ptCount val="1"/>
                <c:pt idx="0">
                  <c:v>FOB (MM USD)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Calculos!$A$2:$A$23</c:f>
              <c:strCache>
                <c:ptCount val="2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  <c:pt idx="20">
                  <c:v>2026-09</c:v>
                </c:pt>
                <c:pt idx="21">
                  <c:v>2026-10</c:v>
                </c:pt>
              </c:strCache>
            </c:strRef>
          </c:cat>
          <c:val>
            <c:numRef>
              <c:f>Calculos!$B$2:$B$23</c:f>
              <c:numCache>
                <c:formatCode>#,##0.0</c:formatCode>
                <c:ptCount val="22"/>
                <c:pt idx="0">
                  <c:v>191.26097062</c:v>
                </c:pt>
                <c:pt idx="1">
                  <c:v>189.93473606</c:v>
                </c:pt>
                <c:pt idx="2">
                  <c:v>164.38648048</c:v>
                </c:pt>
                <c:pt idx="3">
                  <c:v>76.91178395</c:v>
                </c:pt>
                <c:pt idx="4">
                  <c:v>187.76665656</c:v>
                </c:pt>
                <c:pt idx="5">
                  <c:v>175.34694346</c:v>
                </c:pt>
                <c:pt idx="6">
                  <c:v>150.84485378</c:v>
                </c:pt>
                <c:pt idx="7">
                  <c:v>156.04563383</c:v>
                </c:pt>
                <c:pt idx="8">
                  <c:v>146.78747923</c:v>
                </c:pt>
                <c:pt idx="9">
                  <c:v>164.73075772</c:v>
                </c:pt>
                <c:pt idx="10">
                  <c:v>256.984034021</c:v>
                </c:pt>
                <c:pt idx="11">
                  <c:v>422.27879183</c:v>
                </c:pt>
                <c:pt idx="12">
                  <c:v>107.22140857</c:v>
                </c:pt>
                <c:pt idx="13">
                  <c:v>214.83773369</c:v>
                </c:pt>
                <c:pt idx="14">
                  <c:v>126.82198148</c:v>
                </c:pt>
                <c:pt idx="15">
                  <c:v>249.5477517</c:v>
                </c:pt>
                <c:pt idx="16">
                  <c:v>190.87589087</c:v>
                </c:pt>
                <c:pt idx="17">
                  <c:v>293.74724933</c:v>
                </c:pt>
                <c:pt idx="18">
                  <c:v>416.00776362</c:v>
                </c:pt>
                <c:pt idx="19">
                  <c:v>217.94029543</c:v>
                </c:pt>
                <c:pt idx="20">
                  <c:v>330.20655832</c:v>
                </c:pt>
                <c:pt idx="21">
                  <c:v>177.44835401</c:v>
                </c:pt>
              </c:numCache>
            </c:numRef>
          </c:val>
        </c:ser>
        <c:gapWidth val="150"/>
        <c:overlap val="0"/>
        <c:axId val="2602385"/>
        <c:axId val="147286"/>
      </c:barChart>
      <c:lineChart>
        <c:grouping val="standard"/>
        <c:varyColors val="0"/>
        <c:ser>
          <c:idx val="1"/>
          <c:order val="1"/>
          <c:tx>
            <c:strRef>
              <c:f>Calculos!C1</c:f>
              <c:strCache>
                <c:ptCount val="1"/>
                <c:pt idx="0">
                  <c:v>Peso neto (miles TM)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Calculos!$A$2:$A$23</c:f>
              <c:strCache>
                <c:ptCount val="2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  <c:pt idx="20">
                  <c:v>2026-09</c:v>
                </c:pt>
                <c:pt idx="21">
                  <c:v>2026-10</c:v>
                </c:pt>
              </c:strCache>
            </c:strRef>
          </c:cat>
          <c:val>
            <c:numRef>
              <c:f>Calculos!$C$2:$C$23</c:f>
              <c:numCache>
                <c:formatCode>#,##0.0</c:formatCode>
                <c:ptCount val="22"/>
                <c:pt idx="0">
                  <c:v>71.183776</c:v>
                </c:pt>
                <c:pt idx="1">
                  <c:v>65.069912</c:v>
                </c:pt>
                <c:pt idx="2">
                  <c:v>61.681461</c:v>
                </c:pt>
                <c:pt idx="3">
                  <c:v>30.556433</c:v>
                </c:pt>
                <c:pt idx="4">
                  <c:v>62.595864</c:v>
                </c:pt>
                <c:pt idx="5">
                  <c:v>59.79645</c:v>
                </c:pt>
                <c:pt idx="6">
                  <c:v>50.378809</c:v>
                </c:pt>
                <c:pt idx="7">
                  <c:v>52.767114</c:v>
                </c:pt>
                <c:pt idx="8">
                  <c:v>31.258290823</c:v>
                </c:pt>
                <c:pt idx="9">
                  <c:v>50.528871</c:v>
                </c:pt>
                <c:pt idx="10">
                  <c:v>70.3736883</c:v>
                </c:pt>
                <c:pt idx="11">
                  <c:v>110.341992</c:v>
                </c:pt>
                <c:pt idx="12">
                  <c:v>20.825</c:v>
                </c:pt>
                <c:pt idx="13">
                  <c:v>52.614404</c:v>
                </c:pt>
                <c:pt idx="14">
                  <c:v>34.395914</c:v>
                </c:pt>
                <c:pt idx="15">
                  <c:v>60.321111</c:v>
                </c:pt>
                <c:pt idx="16">
                  <c:v>50.529033</c:v>
                </c:pt>
                <c:pt idx="17">
                  <c:v>72.035804</c:v>
                </c:pt>
                <c:pt idx="18">
                  <c:v>89.610706</c:v>
                </c:pt>
                <c:pt idx="19">
                  <c:v>64.754801</c:v>
                </c:pt>
                <c:pt idx="20">
                  <c:v>82.393751</c:v>
                </c:pt>
                <c:pt idx="21">
                  <c:v>65.077769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4807803"/>
        <c:axId val="43464156"/>
      </c:lineChart>
      <c:catAx>
        <c:axId val="26023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286"/>
        <c:crosses val="autoZero"/>
        <c:auto val="1"/>
        <c:lblAlgn val="ctr"/>
        <c:lblOffset val="100"/>
        <c:noMultiLvlLbl val="0"/>
      </c:catAx>
      <c:valAx>
        <c:axId val="1472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 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2385"/>
        <c:crosses val="autoZero"/>
        <c:crossBetween val="between"/>
      </c:valAx>
      <c:catAx>
        <c:axId val="24807803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464156"/>
        <c:crosses val="autoZero"/>
        <c:auto val="1"/>
        <c:lblAlgn val="ctr"/>
        <c:lblOffset val="100"/>
        <c:noMultiLvlLbl val="0"/>
      </c:catAx>
      <c:valAx>
        <c:axId val="43464156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Miles TM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80780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departamentos por FOB (MM 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Calculos!G1</c:f>
              <c:strCache>
                <c:ptCount val="1"/>
                <c:pt idx="0">
                  <c:v>FOB (MM USD)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Calculos!$F$2:$F$11</c:f>
              <c:strCache>
                <c:ptCount val="10"/>
                <c:pt idx="0">
                  <c:v>Pasco</c:v>
                </c:pt>
                <c:pt idx="1">
                  <c:v>Junín</c:v>
                </c:pt>
                <c:pt idx="2">
                  <c:v>Ica</c:v>
                </c:pt>
                <c:pt idx="3">
                  <c:v>Ayacucho</c:v>
                </c:pt>
                <c:pt idx="4">
                  <c:v>Lima</c:v>
                </c:pt>
                <c:pt idx="5">
                  <c:v>Arequipa</c:v>
                </c:pt>
                <c:pt idx="6">
                  <c:v>Áncash</c:v>
                </c:pt>
                <c:pt idx="7">
                  <c:v>La Libertad</c:v>
                </c:pt>
                <c:pt idx="8">
                  <c:v>Cajamarca</c:v>
                </c:pt>
                <c:pt idx="9">
                  <c:v>Piura</c:v>
                </c:pt>
              </c:strCache>
            </c:strRef>
          </c:cat>
          <c:val>
            <c:numRef>
              <c:f>Calculos!$G$2:$G$11</c:f>
              <c:numCache>
                <c:formatCode>#,##0.0</c:formatCode>
                <c:ptCount val="10"/>
                <c:pt idx="0">
                  <c:v>2389.247276</c:v>
                </c:pt>
                <c:pt idx="1">
                  <c:v>1466.87882983</c:v>
                </c:pt>
                <c:pt idx="2">
                  <c:v>220.33107085</c:v>
                </c:pt>
                <c:pt idx="3">
                  <c:v>202.86910057</c:v>
                </c:pt>
                <c:pt idx="4">
                  <c:v>132.81958887</c:v>
                </c:pt>
                <c:pt idx="5">
                  <c:v>51.75333855</c:v>
                </c:pt>
                <c:pt idx="6">
                  <c:v>44.25036932</c:v>
                </c:pt>
                <c:pt idx="7">
                  <c:v>39.00617544</c:v>
                </c:pt>
                <c:pt idx="8">
                  <c:v>15.75288172</c:v>
                </c:pt>
                <c:pt idx="9">
                  <c:v>13.58832409</c:v>
                </c:pt>
              </c:numCache>
            </c:numRef>
          </c:val>
        </c:ser>
        <c:gapWidth val="150"/>
        <c:overlap val="0"/>
        <c:axId val="69561169"/>
        <c:axId val="3785476"/>
      </c:barChart>
      <c:catAx>
        <c:axId val="6956116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85476"/>
        <c:crosses val="autoZero"/>
        <c:auto val="1"/>
        <c:lblAlgn val="ctr"/>
        <c:lblOffset val="100"/>
        <c:noMultiLvlLbl val="0"/>
      </c:catAx>
      <c:valAx>
        <c:axId val="37854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5611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8 RUC de usuario por FOB (MM 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Calculos!N1</c:f>
              <c:strCache>
                <c:ptCount val="1"/>
                <c:pt idx="0">
                  <c:v>FOB (MM USD)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Calculos!$M$2:$M$9</c:f>
              <c:strCache>
                <c:ptCount val="8"/>
                <c:pt idx="0">
                  <c:v>20504041027</c:v>
                </c:pt>
                <c:pt idx="1">
                  <c:v>20100255325</c:v>
                </c:pt>
                <c:pt idx="2">
                  <c:v>20100407362</c:v>
                </c:pt>
                <c:pt idx="3">
                  <c:v>20101368221</c:v>
                </c:pt>
                <c:pt idx="4">
                  <c:v>20252062077</c:v>
                </c:pt>
                <c:pt idx="5">
                  <c:v>Sin RUC</c:v>
                </c:pt>
                <c:pt idx="6">
                  <c:v>20615918670</c:v>
                </c:pt>
                <c:pt idx="7">
                  <c:v>20127705969</c:v>
                </c:pt>
              </c:strCache>
            </c:strRef>
          </c:cat>
          <c:val>
            <c:numRef>
              <c:f>Calculos!$N$2:$N$9</c:f>
              <c:numCache>
                <c:formatCode>#,##0.0</c:formatCode>
                <c:ptCount val="8"/>
                <c:pt idx="0">
                  <c:v>2937.84818279</c:v>
                </c:pt>
                <c:pt idx="1">
                  <c:v>683.08330107</c:v>
                </c:pt>
                <c:pt idx="2">
                  <c:v>495.81785001</c:v>
                </c:pt>
                <c:pt idx="3">
                  <c:v>439.62845212</c:v>
                </c:pt>
                <c:pt idx="4">
                  <c:v>27.62033109</c:v>
                </c:pt>
                <c:pt idx="5">
                  <c:v>15.23483307</c:v>
                </c:pt>
                <c:pt idx="6">
                  <c:v>2.56997094</c:v>
                </c:pt>
                <c:pt idx="7">
                  <c:v>2.191803321</c:v>
                </c:pt>
              </c:numCache>
            </c:numRef>
          </c:val>
        </c:ser>
        <c:gapWidth val="150"/>
        <c:overlap val="0"/>
        <c:axId val="21456841"/>
        <c:axId val="45964700"/>
      </c:barChart>
      <c:catAx>
        <c:axId val="2145684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964700"/>
        <c:crosses val="autoZero"/>
        <c:auto val="1"/>
        <c:lblAlgn val="ctr"/>
        <c:lblOffset val="100"/>
        <c:noMultiLvlLbl val="0"/>
      </c:catAx>
      <c:valAx>
        <c:axId val="459647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568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Precio medio mensual (USD por TM)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Calculos!D1</c:f>
              <c:strCache>
                <c:ptCount val="1"/>
                <c:pt idx="0">
                  <c:v>Precio (USD/TM)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Calculos!$A$2:$A$23</c:f>
              <c:strCache>
                <c:ptCount val="2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  <c:pt idx="20">
                  <c:v>2026-09</c:v>
                </c:pt>
                <c:pt idx="21">
                  <c:v>2026-10</c:v>
                </c:pt>
              </c:strCache>
            </c:strRef>
          </c:cat>
          <c:val>
            <c:numRef>
              <c:f>Calculos!$D$2:$D$23</c:f>
              <c:numCache>
                <c:formatCode>#,##0</c:formatCode>
                <c:ptCount val="22"/>
                <c:pt idx="0">
                  <c:v>2686.86182958319</c:v>
                </c:pt>
                <c:pt idx="1">
                  <c:v>2918.93334756623</c:v>
                </c:pt>
                <c:pt idx="2">
                  <c:v>2665.08733442614</c:v>
                </c:pt>
                <c:pt idx="3">
                  <c:v>2517.04064901816</c:v>
                </c:pt>
                <c:pt idx="4">
                  <c:v>2999.66554595364</c:v>
                </c:pt>
                <c:pt idx="5">
                  <c:v>2932.3972152193</c:v>
                </c:pt>
                <c:pt idx="6">
                  <c:v>2994.21238362344</c:v>
                </c:pt>
                <c:pt idx="7">
                  <c:v>2957.25162892176</c:v>
                </c:pt>
                <c:pt idx="8">
                  <c:v>4695.95346915107</c:v>
                </c:pt>
                <c:pt idx="9">
                  <c:v>3260.13137558526</c:v>
                </c:pt>
                <c:pt idx="10">
                  <c:v>3651.70620197549</c:v>
                </c:pt>
                <c:pt idx="11">
                  <c:v>3826.99989528918</c:v>
                </c:pt>
                <c:pt idx="12">
                  <c:v>5148.68708619448</c:v>
                </c:pt>
                <c:pt idx="13">
                  <c:v>4083.24940238799</c:v>
                </c:pt>
                <c:pt idx="14">
                  <c:v>3687.12346123438</c:v>
                </c:pt>
                <c:pt idx="15">
                  <c:v>4136.98865228129</c:v>
                </c:pt>
                <c:pt idx="16">
                  <c:v>3777.54885730744</c:v>
                </c:pt>
                <c:pt idx="17">
                  <c:v>4077.79511047034</c:v>
                </c:pt>
                <c:pt idx="18">
                  <c:v>4642.38908708073</c:v>
                </c:pt>
                <c:pt idx="19">
                  <c:v>3365.62373853948</c:v>
                </c:pt>
                <c:pt idx="20">
                  <c:v>4007.66507547399</c:v>
                </c:pt>
                <c:pt idx="21">
                  <c:v>2726.71231261785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888828"/>
        <c:axId val="50899943"/>
      </c:lineChart>
      <c:catAx>
        <c:axId val="988888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899943"/>
        <c:crosses val="autoZero"/>
        <c:auto val="1"/>
        <c:lblAlgn val="ctr"/>
        <c:lblOffset val="100"/>
        <c:noMultiLvlLbl val="0"/>
      </c:catAx>
      <c:valAx>
        <c:axId val="508999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888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FOB por año (MM USD) – 2026 parcial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Calculos!Q1</c:f>
              <c:strCache>
                <c:ptCount val="1"/>
                <c:pt idx="0">
                  <c:v>FOB (MM USD)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Calculos!$P$2:$P$3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Calculos!$Q$2:$Q$3</c:f>
              <c:numCache>
                <c:formatCode>#,##0.0</c:formatCode>
                <c:ptCount val="2"/>
                <c:pt idx="0">
                  <c:v>2283.279121541</c:v>
                </c:pt>
                <c:pt idx="1">
                  <c:v>2324.65498702</c:v>
                </c:pt>
              </c:numCache>
            </c:numRef>
          </c:val>
        </c:ser>
        <c:gapWidth val="150"/>
        <c:overlap val="0"/>
        <c:axId val="53775057"/>
        <c:axId val="69349220"/>
      </c:barChart>
      <c:catAx>
        <c:axId val="537750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49220"/>
        <c:crosses val="autoZero"/>
        <c:auto val="1"/>
        <c:lblAlgn val="ctr"/>
        <c:lblOffset val="100"/>
        <c:noMultiLvlLbl val="0"/>
      </c:catAx>
      <c:valAx>
        <c:axId val="693492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750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130680</xdr:rowOff>
    </xdr:from>
    <xdr:to>
      <xdr:col>17</xdr:col>
      <xdr:colOff>14400</xdr:colOff>
      <xdr:row>20</xdr:row>
      <xdr:rowOff>142560</xdr:rowOff>
    </xdr:to>
    <xdr:graphicFrame>
      <xdr:nvGraphicFramePr>
        <xdr:cNvPr id="0" name="Chart 1"/>
        <xdr:cNvGraphicFramePr/>
      </xdr:nvGraphicFramePr>
      <xdr:xfrm>
        <a:off x="775440" y="1162080"/>
        <a:ext cx="124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22</xdr:row>
      <xdr:rowOff>130680</xdr:rowOff>
    </xdr:from>
    <xdr:to>
      <xdr:col>8</xdr:col>
      <xdr:colOff>692280</xdr:colOff>
      <xdr:row>37</xdr:row>
      <xdr:rowOff>153000</xdr:rowOff>
    </xdr:to>
    <xdr:graphicFrame>
      <xdr:nvGraphicFramePr>
        <xdr:cNvPr id="1" name="Chart 2"/>
        <xdr:cNvGraphicFramePr/>
      </xdr:nvGraphicFramePr>
      <xdr:xfrm>
        <a:off x="775440" y="45910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22</xdr:row>
      <xdr:rowOff>130680</xdr:rowOff>
    </xdr:from>
    <xdr:to>
      <xdr:col>17</xdr:col>
      <xdr:colOff>692280</xdr:colOff>
      <xdr:row>37</xdr:row>
      <xdr:rowOff>153000</xdr:rowOff>
    </xdr:to>
    <xdr:graphicFrame>
      <xdr:nvGraphicFramePr>
        <xdr:cNvPr id="2" name="Chart 3"/>
        <xdr:cNvGraphicFramePr/>
      </xdr:nvGraphicFramePr>
      <xdr:xfrm>
        <a:off x="7753320" y="45910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40</xdr:row>
      <xdr:rowOff>130680</xdr:rowOff>
    </xdr:from>
    <xdr:to>
      <xdr:col>8</xdr:col>
      <xdr:colOff>692280</xdr:colOff>
      <xdr:row>55</xdr:row>
      <xdr:rowOff>153000</xdr:rowOff>
    </xdr:to>
    <xdr:graphicFrame>
      <xdr:nvGraphicFramePr>
        <xdr:cNvPr id="3" name="Chart 4"/>
        <xdr:cNvGraphicFramePr/>
      </xdr:nvGraphicFramePr>
      <xdr:xfrm>
        <a:off x="775440" y="80200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40</xdr:row>
      <xdr:rowOff>130680</xdr:rowOff>
    </xdr:from>
    <xdr:to>
      <xdr:col>17</xdr:col>
      <xdr:colOff>692280</xdr:colOff>
      <xdr:row>55</xdr:row>
      <xdr:rowOff>153000</xdr:rowOff>
    </xdr:to>
    <xdr:graphicFrame>
      <xdr:nvGraphicFramePr>
        <xdr:cNvPr id="4" name="Chart 5"/>
        <xdr:cNvGraphicFramePr/>
      </xdr:nvGraphicFramePr>
      <xdr:xfrm>
        <a:off x="7753320" y="80200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11"/>
  </cols>
  <sheetData>
    <row r="1" customFormat="false" ht="19.7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  <c r="C3" s="2"/>
      <c r="D3" s="2" t="s">
        <v>2</v>
      </c>
      <c r="E3" s="2"/>
      <c r="F3" s="2" t="s">
        <v>3</v>
      </c>
      <c r="G3" s="2"/>
      <c r="H3" s="2" t="s">
        <v>4</v>
      </c>
      <c r="I3" s="2"/>
      <c r="J3" s="2" t="s">
        <v>5</v>
      </c>
      <c r="K3" s="2"/>
    </row>
    <row r="4" customFormat="false" ht="31.5" hidden="false" customHeight="true" outlineLevel="0" collapsed="false">
      <c r="B4" s="3" t="n">
        <f aca="false">SUM(Datos!$L$2:$L$364)/1000000</f>
        <v>4607.934108561</v>
      </c>
      <c r="C4" s="3"/>
      <c r="D4" s="3" t="n">
        <f aca="false">SUM(Datos!$K$2:$K$364)/1000</f>
        <v>1309.090954123</v>
      </c>
      <c r="E4" s="3"/>
      <c r="F4" s="4" t="n">
        <f aca="false">COUNTIFS(Datos!$B$2:$B$364,1)</f>
        <v>360</v>
      </c>
      <c r="G4" s="4"/>
      <c r="H4" s="4" t="n">
        <f aca="false">SUM(Datos!$L$2:$L$364)/SUM(Datos!$K$2:$K$364)</f>
        <v>3519.94954517732</v>
      </c>
      <c r="I4" s="4"/>
      <c r="J4" s="5" t="n">
        <f aca="false">Calculos!Q3/Calculos!Q2-1</f>
        <v>0.0181212472398362</v>
      </c>
      <c r="K4" s="5"/>
    </row>
  </sheetData>
  <mergeCells count="10">
    <mergeCell ref="B3:C3"/>
    <mergeCell ref="D3:E3"/>
    <mergeCell ref="F3:G3"/>
    <mergeCell ref="H3:I3"/>
    <mergeCell ref="J3:K3"/>
    <mergeCell ref="B4:C4"/>
    <mergeCell ref="D4:E4"/>
    <mergeCell ref="F4:G4"/>
    <mergeCell ref="H4:I4"/>
    <mergeCell ref="J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10" min="10" style="0" width="22"/>
    <col collapsed="false" customWidth="true" hidden="false" outlineLevel="0" max="11" min="11" style="0" width="13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6" min="16" style="0" width="8"/>
    <col collapsed="false" customWidth="true" hidden="false" outlineLevel="0" max="17" min="17" style="0" width="13"/>
    <col collapsed="false" customWidth="true" hidden="false" outlineLevel="0" max="18" min="18" style="0" width="14"/>
    <col collapsed="false" customWidth="true" hidden="false" outlineLevel="0" max="19" min="19" style="0" width="13"/>
  </cols>
  <sheetData>
    <row r="1" customFormat="false" ht="26.85" hidden="false" customHeight="false" outlineLevel="0" collapsed="false">
      <c r="A1" s="6" t="s">
        <v>6</v>
      </c>
      <c r="B1" s="6" t="s">
        <v>7</v>
      </c>
      <c r="C1" s="6" t="s">
        <v>2</v>
      </c>
      <c r="D1" s="6" t="s">
        <v>8</v>
      </c>
      <c r="E1" s="7"/>
      <c r="F1" s="6" t="s">
        <v>9</v>
      </c>
      <c r="G1" s="6" t="s">
        <v>7</v>
      </c>
      <c r="H1" s="6" t="s">
        <v>10</v>
      </c>
      <c r="I1" s="7"/>
      <c r="J1" s="6" t="s">
        <v>11</v>
      </c>
      <c r="K1" s="6" t="s">
        <v>7</v>
      </c>
      <c r="L1" s="7"/>
      <c r="M1" s="6" t="s">
        <v>12</v>
      </c>
      <c r="N1" s="6" t="s">
        <v>7</v>
      </c>
      <c r="O1" s="7"/>
      <c r="P1" s="6" t="s">
        <v>13</v>
      </c>
      <c r="Q1" s="6" t="s">
        <v>7</v>
      </c>
      <c r="R1" s="6" t="s">
        <v>2</v>
      </c>
      <c r="S1" s="6" t="s">
        <v>3</v>
      </c>
    </row>
    <row r="2" customFormat="false" ht="15" hidden="false" customHeight="false" outlineLevel="0" collapsed="false">
      <c r="A2" s="7" t="s">
        <v>14</v>
      </c>
      <c r="B2" s="8" t="n">
        <f aca="false">SUMIFS(Datos!$L$2:$L$364,Datos!$E$2:$E$364,A2)/1000000</f>
        <v>191.26097062</v>
      </c>
      <c r="C2" s="8" t="n">
        <f aca="false">SUMIFS(Datos!$K$2:$K$364,Datos!$E$2:$E$364,A2)/1000</f>
        <v>71.183776</v>
      </c>
      <c r="D2" s="9" t="n">
        <f aca="false">IFERROR(B2*1000/C2,0)</f>
        <v>2686.86182958319</v>
      </c>
      <c r="E2" s="7"/>
      <c r="F2" s="7" t="s">
        <v>15</v>
      </c>
      <c r="G2" s="8" t="n">
        <f aca="false">SUMIFS(Datos!$L$2:$L$364,Datos!$H$2:$H$364,F2)/1000000</f>
        <v>2389.247276</v>
      </c>
      <c r="H2" s="10" t="n">
        <f aca="false">G2/(SUM(Datos!$L$2:$L$364)/1000000)</f>
        <v>0.518507257202541</v>
      </c>
      <c r="I2" s="7"/>
      <c r="J2" s="7" t="s">
        <v>16</v>
      </c>
      <c r="K2" s="8" t="n">
        <f aca="false">SUMIFS(Datos!$L$2:$L$364,Datos!$I$2:$I$364,J2)/1000000</f>
        <v>38.221599521</v>
      </c>
      <c r="L2" s="7"/>
      <c r="M2" s="7" t="s">
        <v>17</v>
      </c>
      <c r="N2" s="8" t="n">
        <f aca="false">SUMIFS(Datos!$L$2:$L$364,Datos!$J$2:$J$364,M2)/1000000</f>
        <v>2937.84818279</v>
      </c>
      <c r="O2" s="7"/>
      <c r="P2" s="7" t="n">
        <v>2025</v>
      </c>
      <c r="Q2" s="8" t="n">
        <f aca="false">SUMIFS(Datos!$L$2:$L$364,Datos!$D$2:$D$364,P2)/1000000</f>
        <v>2283.279121541</v>
      </c>
      <c r="R2" s="8" t="n">
        <f aca="false">SUMIFS(Datos!$K$2:$K$364,Datos!$D$2:$D$364,P2)/1000</f>
        <v>716.532661123</v>
      </c>
      <c r="S2" s="7" t="n">
        <f aca="false">COUNTIFS(Datos!$D$2:$D$364,P2,Datos!$B$2:$B$364,1)</f>
        <v>213</v>
      </c>
    </row>
    <row r="3" customFormat="false" ht="15" hidden="false" customHeight="false" outlineLevel="0" collapsed="false">
      <c r="A3" s="7" t="s">
        <v>18</v>
      </c>
      <c r="B3" s="8" t="n">
        <f aca="false">SUMIFS(Datos!$L$2:$L$364,Datos!$E$2:$E$364,A3)/1000000</f>
        <v>189.93473606</v>
      </c>
      <c r="C3" s="8" t="n">
        <f aca="false">SUMIFS(Datos!$K$2:$K$364,Datos!$E$2:$E$364,A3)/1000</f>
        <v>65.069912</v>
      </c>
      <c r="D3" s="9" t="n">
        <f aca="false">IFERROR(B3*1000/C3,0)</f>
        <v>2918.93334756623</v>
      </c>
      <c r="E3" s="7"/>
      <c r="F3" s="7" t="s">
        <v>19</v>
      </c>
      <c r="G3" s="8" t="n">
        <f aca="false">SUMIFS(Datos!$L$2:$L$364,Datos!$H$2:$H$364,F3)/1000000</f>
        <v>1466.87882983</v>
      </c>
      <c r="H3" s="10" t="n">
        <f aca="false">G3/(SUM(Datos!$L$2:$L$364)/1000000)</f>
        <v>0.318337631413763</v>
      </c>
      <c r="I3" s="7"/>
      <c r="J3" s="7" t="s">
        <v>20</v>
      </c>
      <c r="K3" s="8" t="n">
        <f aca="false">SUMIFS(Datos!$L$2:$L$364,Datos!$I$2:$I$364,J3)/1000000</f>
        <v>4569.71250904</v>
      </c>
      <c r="L3" s="7"/>
      <c r="M3" s="7" t="s">
        <v>21</v>
      </c>
      <c r="N3" s="8" t="n">
        <f aca="false">SUMIFS(Datos!$L$2:$L$364,Datos!$J$2:$J$364,M3)/1000000</f>
        <v>683.08330107</v>
      </c>
      <c r="O3" s="7"/>
      <c r="P3" s="7" t="n">
        <v>2026</v>
      </c>
      <c r="Q3" s="8" t="n">
        <f aca="false">SUMIFS(Datos!$L$2:$L$364,Datos!$D$2:$D$364,P3)/1000000</f>
        <v>2324.65498702</v>
      </c>
      <c r="R3" s="8" t="n">
        <f aca="false">SUMIFS(Datos!$K$2:$K$364,Datos!$D$2:$D$364,P3)/1000</f>
        <v>592.558293</v>
      </c>
      <c r="S3" s="7" t="n">
        <f aca="false">COUNTIFS(Datos!$D$2:$D$364,P3,Datos!$B$2:$B$364,1)</f>
        <v>147</v>
      </c>
    </row>
    <row r="4" customFormat="false" ht="15" hidden="false" customHeight="false" outlineLevel="0" collapsed="false">
      <c r="A4" s="7" t="s">
        <v>22</v>
      </c>
      <c r="B4" s="8" t="n">
        <f aca="false">SUMIFS(Datos!$L$2:$L$364,Datos!$E$2:$E$364,A4)/1000000</f>
        <v>164.38648048</v>
      </c>
      <c r="C4" s="8" t="n">
        <f aca="false">SUMIFS(Datos!$K$2:$K$364,Datos!$E$2:$E$364,A4)/1000</f>
        <v>61.681461</v>
      </c>
      <c r="D4" s="9" t="n">
        <f aca="false">IFERROR(B4*1000/C4,0)</f>
        <v>2665.08733442614</v>
      </c>
      <c r="E4" s="7"/>
      <c r="F4" s="7" t="s">
        <v>23</v>
      </c>
      <c r="G4" s="8" t="n">
        <f aca="false">SUMIFS(Datos!$L$2:$L$364,Datos!$H$2:$H$364,F4)/1000000</f>
        <v>220.33107085</v>
      </c>
      <c r="H4" s="10" t="n">
        <f aca="false">G4/(SUM(Datos!$L$2:$L$364)/1000000)</f>
        <v>0.0478155862603701</v>
      </c>
      <c r="I4" s="7"/>
      <c r="J4" s="7"/>
      <c r="K4" s="8"/>
      <c r="L4" s="7"/>
      <c r="M4" s="7" t="s">
        <v>24</v>
      </c>
      <c r="N4" s="8" t="n">
        <f aca="false">SUMIFS(Datos!$L$2:$L$364,Datos!$J$2:$J$364,M4)/1000000</f>
        <v>495.81785001</v>
      </c>
      <c r="O4" s="7"/>
      <c r="P4" s="7"/>
      <c r="Q4" s="8"/>
      <c r="R4" s="8"/>
      <c r="S4" s="7"/>
    </row>
    <row r="5" customFormat="false" ht="15" hidden="false" customHeight="false" outlineLevel="0" collapsed="false">
      <c r="A5" s="7" t="s">
        <v>25</v>
      </c>
      <c r="B5" s="8" t="n">
        <f aca="false">SUMIFS(Datos!$L$2:$L$364,Datos!$E$2:$E$364,A5)/1000000</f>
        <v>76.91178395</v>
      </c>
      <c r="C5" s="8" t="n">
        <f aca="false">SUMIFS(Datos!$K$2:$K$364,Datos!$E$2:$E$364,A5)/1000</f>
        <v>30.556433</v>
      </c>
      <c r="D5" s="9" t="n">
        <f aca="false">IFERROR(B5*1000/C5,0)</f>
        <v>2517.04064901816</v>
      </c>
      <c r="E5" s="7"/>
      <c r="F5" s="7" t="s">
        <v>26</v>
      </c>
      <c r="G5" s="8" t="n">
        <f aca="false">SUMIFS(Datos!$L$2:$L$364,Datos!$H$2:$H$364,F5)/1000000</f>
        <v>202.86910057</v>
      </c>
      <c r="H5" s="10" t="n">
        <f aca="false">G5/(SUM(Datos!$L$2:$L$364)/1000000)</f>
        <v>0.0440260419941972</v>
      </c>
      <c r="I5" s="7"/>
      <c r="J5" s="7"/>
      <c r="K5" s="8"/>
      <c r="L5" s="7"/>
      <c r="M5" s="7" t="s">
        <v>27</v>
      </c>
      <c r="N5" s="8" t="n">
        <f aca="false">SUMIFS(Datos!$L$2:$L$364,Datos!$J$2:$J$364,M5)/1000000</f>
        <v>439.62845212</v>
      </c>
      <c r="O5" s="7"/>
      <c r="P5" s="11" t="s">
        <v>28</v>
      </c>
      <c r="Q5" s="8"/>
      <c r="R5" s="8"/>
      <c r="S5" s="7"/>
    </row>
    <row r="6" customFormat="false" ht="15" hidden="false" customHeight="false" outlineLevel="0" collapsed="false">
      <c r="A6" s="7" t="s">
        <v>29</v>
      </c>
      <c r="B6" s="8" t="n">
        <f aca="false">SUMIFS(Datos!$L$2:$L$364,Datos!$E$2:$E$364,A6)/1000000</f>
        <v>187.76665656</v>
      </c>
      <c r="C6" s="8" t="n">
        <f aca="false">SUMIFS(Datos!$K$2:$K$364,Datos!$E$2:$E$364,A6)/1000</f>
        <v>62.595864</v>
      </c>
      <c r="D6" s="9" t="n">
        <f aca="false">IFERROR(B6*1000/C6,0)</f>
        <v>2999.66554595364</v>
      </c>
      <c r="E6" s="7"/>
      <c r="F6" s="7" t="s">
        <v>30</v>
      </c>
      <c r="G6" s="8" t="n">
        <f aca="false">SUMIFS(Datos!$L$2:$L$364,Datos!$H$2:$H$364,F6)/1000000</f>
        <v>132.81958887</v>
      </c>
      <c r="H6" s="10" t="n">
        <f aca="false">G6/(SUM(Datos!$L$2:$L$364)/1000000)</f>
        <v>0.02882410766752</v>
      </c>
      <c r="I6" s="7"/>
      <c r="J6" s="7"/>
      <c r="K6" s="8"/>
      <c r="L6" s="7"/>
      <c r="M6" s="7" t="s">
        <v>31</v>
      </c>
      <c r="N6" s="8" t="n">
        <f aca="false">SUMIFS(Datos!$L$2:$L$364,Datos!$J$2:$J$364,M6)/1000000</f>
        <v>27.62033109</v>
      </c>
      <c r="O6" s="7"/>
      <c r="P6" s="7"/>
      <c r="Q6" s="8"/>
      <c r="R6" s="8"/>
      <c r="S6" s="7"/>
    </row>
    <row r="7" customFormat="false" ht="15" hidden="false" customHeight="false" outlineLevel="0" collapsed="false">
      <c r="A7" s="7" t="s">
        <v>32</v>
      </c>
      <c r="B7" s="8" t="n">
        <f aca="false">SUMIFS(Datos!$L$2:$L$364,Datos!$E$2:$E$364,A7)/1000000</f>
        <v>175.34694346</v>
      </c>
      <c r="C7" s="8" t="n">
        <f aca="false">SUMIFS(Datos!$K$2:$K$364,Datos!$E$2:$E$364,A7)/1000</f>
        <v>59.79645</v>
      </c>
      <c r="D7" s="9" t="n">
        <f aca="false">IFERROR(B7*1000/C7,0)</f>
        <v>2932.3972152193</v>
      </c>
      <c r="E7" s="7"/>
      <c r="F7" s="7" t="s">
        <v>33</v>
      </c>
      <c r="G7" s="8" t="n">
        <f aca="false">SUMIFS(Datos!$L$2:$L$364,Datos!$H$2:$H$364,F7)/1000000</f>
        <v>51.75333855</v>
      </c>
      <c r="H7" s="10" t="n">
        <f aca="false">G7/(SUM(Datos!$L$2:$L$364)/1000000)</f>
        <v>0.011231353862862</v>
      </c>
      <c r="I7" s="7"/>
      <c r="J7" s="7"/>
      <c r="K7" s="8"/>
      <c r="L7" s="7"/>
      <c r="M7" s="7" t="s">
        <v>34</v>
      </c>
      <c r="N7" s="8" t="n">
        <f aca="false">SUMIFS(Datos!$L$2:$L$364,Datos!$J$2:$J$364,M7)/1000000</f>
        <v>15.23483307</v>
      </c>
      <c r="O7" s="7"/>
      <c r="P7" s="7"/>
      <c r="Q7" s="8"/>
      <c r="R7" s="8"/>
      <c r="S7" s="7"/>
    </row>
    <row r="8" customFormat="false" ht="15" hidden="false" customHeight="false" outlineLevel="0" collapsed="false">
      <c r="A8" s="7" t="s">
        <v>35</v>
      </c>
      <c r="B8" s="8" t="n">
        <f aca="false">SUMIFS(Datos!$L$2:$L$364,Datos!$E$2:$E$364,A8)/1000000</f>
        <v>150.84485378</v>
      </c>
      <c r="C8" s="8" t="n">
        <f aca="false">SUMIFS(Datos!$K$2:$K$364,Datos!$E$2:$E$364,A8)/1000</f>
        <v>50.378809</v>
      </c>
      <c r="D8" s="9" t="n">
        <f aca="false">IFERROR(B8*1000/C8,0)</f>
        <v>2994.21238362344</v>
      </c>
      <c r="E8" s="7"/>
      <c r="F8" s="7" t="s">
        <v>36</v>
      </c>
      <c r="G8" s="8" t="n">
        <f aca="false">SUMIFS(Datos!$L$2:$L$364,Datos!$H$2:$H$364,F8)/1000000</f>
        <v>44.25036932</v>
      </c>
      <c r="H8" s="10" t="n">
        <f aca="false">G8/(SUM(Datos!$L$2:$L$364)/1000000)</f>
        <v>0.00960308204880535</v>
      </c>
      <c r="I8" s="7"/>
      <c r="J8" s="7"/>
      <c r="K8" s="8"/>
      <c r="L8" s="7"/>
      <c r="M8" s="7" t="s">
        <v>37</v>
      </c>
      <c r="N8" s="8" t="n">
        <f aca="false">SUMIFS(Datos!$L$2:$L$364,Datos!$J$2:$J$364,M8)/1000000</f>
        <v>2.56997094</v>
      </c>
      <c r="O8" s="7"/>
      <c r="P8" s="7"/>
      <c r="Q8" s="8"/>
      <c r="R8" s="8"/>
      <c r="S8" s="7"/>
    </row>
    <row r="9" customFormat="false" ht="15" hidden="false" customHeight="false" outlineLevel="0" collapsed="false">
      <c r="A9" s="7" t="s">
        <v>38</v>
      </c>
      <c r="B9" s="8" t="n">
        <f aca="false">SUMIFS(Datos!$L$2:$L$364,Datos!$E$2:$E$364,A9)/1000000</f>
        <v>156.04563383</v>
      </c>
      <c r="C9" s="8" t="n">
        <f aca="false">SUMIFS(Datos!$K$2:$K$364,Datos!$E$2:$E$364,A9)/1000</f>
        <v>52.767114</v>
      </c>
      <c r="D9" s="9" t="n">
        <f aca="false">IFERROR(B9*1000/C9,0)</f>
        <v>2957.25162892176</v>
      </c>
      <c r="E9" s="7"/>
      <c r="F9" s="7" t="s">
        <v>39</v>
      </c>
      <c r="G9" s="8" t="n">
        <f aca="false">SUMIFS(Datos!$L$2:$L$364,Datos!$H$2:$H$364,F9)/1000000</f>
        <v>39.00617544</v>
      </c>
      <c r="H9" s="10" t="n">
        <f aca="false">G9/(SUM(Datos!$L$2:$L$364)/1000000)</f>
        <v>0.00846500286701824</v>
      </c>
      <c r="I9" s="7"/>
      <c r="J9" s="7"/>
      <c r="K9" s="8"/>
      <c r="L9" s="7"/>
      <c r="M9" s="7" t="s">
        <v>40</v>
      </c>
      <c r="N9" s="8" t="n">
        <f aca="false">SUMIFS(Datos!$L$2:$L$364,Datos!$J$2:$J$364,M9)/1000000</f>
        <v>2.191803321</v>
      </c>
      <c r="O9" s="7"/>
      <c r="P9" s="7"/>
      <c r="Q9" s="8"/>
      <c r="R9" s="8"/>
      <c r="S9" s="7"/>
    </row>
    <row r="10" customFormat="false" ht="15" hidden="false" customHeight="false" outlineLevel="0" collapsed="false">
      <c r="A10" s="7" t="s">
        <v>41</v>
      </c>
      <c r="B10" s="8" t="n">
        <f aca="false">SUMIFS(Datos!$L$2:$L$364,Datos!$E$2:$E$364,A10)/1000000</f>
        <v>146.78747923</v>
      </c>
      <c r="C10" s="8" t="n">
        <f aca="false">SUMIFS(Datos!$K$2:$K$364,Datos!$E$2:$E$364,A10)/1000</f>
        <v>31.258290823</v>
      </c>
      <c r="D10" s="9" t="n">
        <f aca="false">IFERROR(B10*1000/C10,0)</f>
        <v>4695.95346915107</v>
      </c>
      <c r="E10" s="7"/>
      <c r="F10" s="7" t="s">
        <v>42</v>
      </c>
      <c r="G10" s="8" t="n">
        <f aca="false">SUMIFS(Datos!$L$2:$L$364,Datos!$H$2:$H$364,F10)/1000000</f>
        <v>15.75288172</v>
      </c>
      <c r="H10" s="10" t="n">
        <f aca="false">G10/(SUM(Datos!$L$2:$L$364)/1000000)</f>
        <v>0.00341864300766215</v>
      </c>
      <c r="I10" s="7"/>
      <c r="J10" s="7"/>
      <c r="K10" s="8"/>
      <c r="L10" s="7"/>
      <c r="M10" s="7"/>
      <c r="N10" s="8"/>
      <c r="O10" s="7"/>
      <c r="P10" s="7"/>
      <c r="Q10" s="8"/>
      <c r="R10" s="8"/>
      <c r="S10" s="7"/>
    </row>
    <row r="11" customFormat="false" ht="15" hidden="false" customHeight="false" outlineLevel="0" collapsed="false">
      <c r="A11" s="7" t="s">
        <v>43</v>
      </c>
      <c r="B11" s="8" t="n">
        <f aca="false">SUMIFS(Datos!$L$2:$L$364,Datos!$E$2:$E$364,A11)/1000000</f>
        <v>164.73075772</v>
      </c>
      <c r="C11" s="8" t="n">
        <f aca="false">SUMIFS(Datos!$K$2:$K$364,Datos!$E$2:$E$364,A11)/1000</f>
        <v>50.528871</v>
      </c>
      <c r="D11" s="9" t="n">
        <f aca="false">IFERROR(B11*1000/C11,0)</f>
        <v>3260.13137558526</v>
      </c>
      <c r="E11" s="7"/>
      <c r="F11" s="7" t="s">
        <v>44</v>
      </c>
      <c r="G11" s="8" t="n">
        <f aca="false">SUMIFS(Datos!$L$2:$L$364,Datos!$H$2:$H$364,F11)/1000000</f>
        <v>13.58832409</v>
      </c>
      <c r="H11" s="10" t="n">
        <f aca="false">G11/(SUM(Datos!$L$2:$L$364)/1000000)</f>
        <v>0.00294889722158884</v>
      </c>
      <c r="I11" s="7"/>
      <c r="J11" s="7"/>
      <c r="K11" s="8"/>
      <c r="L11" s="7"/>
      <c r="M11" s="7"/>
      <c r="N11" s="8"/>
      <c r="O11" s="7"/>
      <c r="P11" s="7"/>
      <c r="Q11" s="8"/>
      <c r="R11" s="8"/>
      <c r="S11" s="7"/>
    </row>
    <row r="12" customFormat="false" ht="15" hidden="false" customHeight="false" outlineLevel="0" collapsed="false">
      <c r="A12" s="7" t="s">
        <v>45</v>
      </c>
      <c r="B12" s="8" t="n">
        <f aca="false">SUMIFS(Datos!$L$2:$L$364,Datos!$E$2:$E$364,A12)/1000000</f>
        <v>256.984034021</v>
      </c>
      <c r="C12" s="8" t="n">
        <f aca="false">SUMIFS(Datos!$K$2:$K$364,Datos!$E$2:$E$364,A12)/1000</f>
        <v>70.3736883</v>
      </c>
      <c r="D12" s="9" t="n">
        <f aca="false">IFERROR(B12*1000/C12,0)</f>
        <v>3651.70620197549</v>
      </c>
      <c r="E12" s="7"/>
      <c r="F12" s="7"/>
      <c r="G12" s="8"/>
      <c r="H12" s="7"/>
      <c r="I12" s="7"/>
      <c r="J12" s="7"/>
      <c r="K12" s="8"/>
      <c r="L12" s="7"/>
      <c r="M12" s="7"/>
      <c r="N12" s="8"/>
      <c r="O12" s="7"/>
      <c r="P12" s="7"/>
      <c r="Q12" s="8"/>
      <c r="R12" s="8"/>
      <c r="S12" s="7"/>
    </row>
    <row r="13" customFormat="false" ht="15" hidden="false" customHeight="false" outlineLevel="0" collapsed="false">
      <c r="A13" s="7" t="s">
        <v>46</v>
      </c>
      <c r="B13" s="8" t="n">
        <f aca="false">SUMIFS(Datos!$L$2:$L$364,Datos!$E$2:$E$364,A13)/1000000</f>
        <v>422.27879183</v>
      </c>
      <c r="C13" s="8" t="n">
        <f aca="false">SUMIFS(Datos!$K$2:$K$364,Datos!$E$2:$E$364,A13)/1000</f>
        <v>110.341992</v>
      </c>
      <c r="D13" s="9" t="n">
        <f aca="false">IFERROR(B13*1000/C13,0)</f>
        <v>3826.99989528918</v>
      </c>
      <c r="E13" s="7"/>
      <c r="F13" s="7"/>
      <c r="G13" s="8"/>
      <c r="H13" s="7"/>
      <c r="I13" s="7"/>
      <c r="J13" s="7"/>
      <c r="K13" s="8"/>
      <c r="L13" s="7"/>
      <c r="M13" s="7"/>
      <c r="N13" s="8"/>
      <c r="O13" s="7"/>
      <c r="P13" s="7"/>
      <c r="Q13" s="8"/>
      <c r="R13" s="8"/>
      <c r="S13" s="7"/>
    </row>
    <row r="14" customFormat="false" ht="15" hidden="false" customHeight="false" outlineLevel="0" collapsed="false">
      <c r="A14" s="7" t="s">
        <v>47</v>
      </c>
      <c r="B14" s="8" t="n">
        <f aca="false">SUMIFS(Datos!$L$2:$L$364,Datos!$E$2:$E$364,A14)/1000000</f>
        <v>107.22140857</v>
      </c>
      <c r="C14" s="8" t="n">
        <f aca="false">SUMIFS(Datos!$K$2:$K$364,Datos!$E$2:$E$364,A14)/1000</f>
        <v>20.825</v>
      </c>
      <c r="D14" s="9" t="n">
        <f aca="false">IFERROR(B14*1000/C14,0)</f>
        <v>5148.68708619448</v>
      </c>
      <c r="E14" s="7"/>
      <c r="F14" s="7"/>
      <c r="G14" s="8"/>
      <c r="H14" s="7"/>
      <c r="I14" s="7"/>
      <c r="J14" s="7"/>
      <c r="K14" s="8"/>
      <c r="L14" s="7"/>
      <c r="M14" s="7"/>
      <c r="N14" s="8"/>
      <c r="O14" s="7"/>
      <c r="P14" s="7"/>
      <c r="Q14" s="8"/>
      <c r="R14" s="8"/>
      <c r="S14" s="7"/>
    </row>
    <row r="15" customFormat="false" ht="15" hidden="false" customHeight="false" outlineLevel="0" collapsed="false">
      <c r="A15" s="7" t="s">
        <v>48</v>
      </c>
      <c r="B15" s="8" t="n">
        <f aca="false">SUMIFS(Datos!$L$2:$L$364,Datos!$E$2:$E$364,A15)/1000000</f>
        <v>214.83773369</v>
      </c>
      <c r="C15" s="8" t="n">
        <f aca="false">SUMIFS(Datos!$K$2:$K$364,Datos!$E$2:$E$364,A15)/1000</f>
        <v>52.614404</v>
      </c>
      <c r="D15" s="9" t="n">
        <f aca="false">IFERROR(B15*1000/C15,0)</f>
        <v>4083.24940238799</v>
      </c>
      <c r="E15" s="7"/>
      <c r="F15" s="7"/>
      <c r="G15" s="8"/>
      <c r="H15" s="7"/>
      <c r="I15" s="7"/>
      <c r="J15" s="7"/>
      <c r="K15" s="8"/>
      <c r="L15" s="7"/>
      <c r="M15" s="7"/>
      <c r="N15" s="8"/>
      <c r="O15" s="7"/>
      <c r="P15" s="7"/>
      <c r="Q15" s="8"/>
      <c r="R15" s="8"/>
      <c r="S15" s="7"/>
    </row>
    <row r="16" customFormat="false" ht="15" hidden="false" customHeight="false" outlineLevel="0" collapsed="false">
      <c r="A16" s="7" t="s">
        <v>49</v>
      </c>
      <c r="B16" s="8" t="n">
        <f aca="false">SUMIFS(Datos!$L$2:$L$364,Datos!$E$2:$E$364,A16)/1000000</f>
        <v>126.82198148</v>
      </c>
      <c r="C16" s="8" t="n">
        <f aca="false">SUMIFS(Datos!$K$2:$K$364,Datos!$E$2:$E$364,A16)/1000</f>
        <v>34.395914</v>
      </c>
      <c r="D16" s="9" t="n">
        <f aca="false">IFERROR(B16*1000/C16,0)</f>
        <v>3687.12346123438</v>
      </c>
      <c r="E16" s="7"/>
      <c r="F16" s="7"/>
      <c r="G16" s="8"/>
      <c r="H16" s="7"/>
      <c r="I16" s="7"/>
      <c r="J16" s="7"/>
      <c r="K16" s="8"/>
      <c r="L16" s="7"/>
      <c r="M16" s="7"/>
      <c r="N16" s="8"/>
      <c r="O16" s="7"/>
      <c r="P16" s="7"/>
      <c r="Q16" s="8"/>
      <c r="R16" s="8"/>
      <c r="S16" s="7"/>
    </row>
    <row r="17" customFormat="false" ht="15" hidden="false" customHeight="false" outlineLevel="0" collapsed="false">
      <c r="A17" s="7" t="s">
        <v>50</v>
      </c>
      <c r="B17" s="8" t="n">
        <f aca="false">SUMIFS(Datos!$L$2:$L$364,Datos!$E$2:$E$364,A17)/1000000</f>
        <v>249.5477517</v>
      </c>
      <c r="C17" s="8" t="n">
        <f aca="false">SUMIFS(Datos!$K$2:$K$364,Datos!$E$2:$E$364,A17)/1000</f>
        <v>60.321111</v>
      </c>
      <c r="D17" s="9" t="n">
        <f aca="false">IFERROR(B17*1000/C17,0)</f>
        <v>4136.98865228129</v>
      </c>
      <c r="E17" s="7"/>
      <c r="F17" s="7"/>
      <c r="G17" s="8"/>
      <c r="H17" s="7"/>
      <c r="I17" s="7"/>
      <c r="J17" s="7"/>
      <c r="K17" s="8"/>
      <c r="L17" s="7"/>
      <c r="M17" s="7"/>
      <c r="N17" s="8"/>
      <c r="O17" s="7"/>
      <c r="P17" s="7"/>
      <c r="Q17" s="8"/>
      <c r="R17" s="8"/>
      <c r="S17" s="7"/>
    </row>
    <row r="18" customFormat="false" ht="15" hidden="false" customHeight="false" outlineLevel="0" collapsed="false">
      <c r="A18" s="7" t="s">
        <v>51</v>
      </c>
      <c r="B18" s="8" t="n">
        <f aca="false">SUMIFS(Datos!$L$2:$L$364,Datos!$E$2:$E$364,A18)/1000000</f>
        <v>190.87589087</v>
      </c>
      <c r="C18" s="8" t="n">
        <f aca="false">SUMIFS(Datos!$K$2:$K$364,Datos!$E$2:$E$364,A18)/1000</f>
        <v>50.529033</v>
      </c>
      <c r="D18" s="9" t="n">
        <f aca="false">IFERROR(B18*1000/C18,0)</f>
        <v>3777.54885730744</v>
      </c>
      <c r="E18" s="7"/>
      <c r="F18" s="7"/>
      <c r="G18" s="8"/>
      <c r="H18" s="7"/>
      <c r="I18" s="7"/>
      <c r="J18" s="7"/>
      <c r="K18" s="8"/>
      <c r="L18" s="7"/>
      <c r="M18" s="7"/>
      <c r="N18" s="8"/>
      <c r="O18" s="7"/>
      <c r="P18" s="7"/>
      <c r="Q18" s="8"/>
      <c r="R18" s="8"/>
      <c r="S18" s="7"/>
    </row>
    <row r="19" customFormat="false" ht="15" hidden="false" customHeight="false" outlineLevel="0" collapsed="false">
      <c r="A19" s="7" t="s">
        <v>52</v>
      </c>
      <c r="B19" s="8" t="n">
        <f aca="false">SUMIFS(Datos!$L$2:$L$364,Datos!$E$2:$E$364,A19)/1000000</f>
        <v>293.74724933</v>
      </c>
      <c r="C19" s="8" t="n">
        <f aca="false">SUMIFS(Datos!$K$2:$K$364,Datos!$E$2:$E$364,A19)/1000</f>
        <v>72.035804</v>
      </c>
      <c r="D19" s="9" t="n">
        <f aca="false">IFERROR(B19*1000/C19,0)</f>
        <v>4077.79511047034</v>
      </c>
      <c r="E19" s="7"/>
      <c r="F19" s="7"/>
      <c r="G19" s="8"/>
      <c r="H19" s="7"/>
      <c r="I19" s="7"/>
      <c r="J19" s="7"/>
      <c r="K19" s="8"/>
      <c r="L19" s="7"/>
      <c r="M19" s="7"/>
      <c r="N19" s="8"/>
      <c r="O19" s="7"/>
      <c r="P19" s="7"/>
      <c r="Q19" s="8"/>
      <c r="R19" s="8"/>
      <c r="S19" s="7"/>
    </row>
    <row r="20" customFormat="false" ht="15" hidden="false" customHeight="false" outlineLevel="0" collapsed="false">
      <c r="A20" s="7" t="s">
        <v>53</v>
      </c>
      <c r="B20" s="8" t="n">
        <f aca="false">SUMIFS(Datos!$L$2:$L$364,Datos!$E$2:$E$364,A20)/1000000</f>
        <v>416.00776362</v>
      </c>
      <c r="C20" s="8" t="n">
        <f aca="false">SUMIFS(Datos!$K$2:$K$364,Datos!$E$2:$E$364,A20)/1000</f>
        <v>89.610706</v>
      </c>
      <c r="D20" s="9" t="n">
        <f aca="false">IFERROR(B20*1000/C20,0)</f>
        <v>4642.38908708073</v>
      </c>
      <c r="E20" s="7"/>
      <c r="F20" s="7"/>
      <c r="G20" s="8"/>
      <c r="H20" s="7"/>
      <c r="I20" s="7"/>
      <c r="J20" s="7"/>
      <c r="K20" s="8"/>
      <c r="L20" s="7"/>
      <c r="M20" s="7"/>
      <c r="N20" s="8"/>
      <c r="O20" s="7"/>
      <c r="P20" s="7"/>
      <c r="Q20" s="8"/>
      <c r="R20" s="8"/>
      <c r="S20" s="7"/>
    </row>
    <row r="21" customFormat="false" ht="15" hidden="false" customHeight="false" outlineLevel="0" collapsed="false">
      <c r="A21" s="7" t="s">
        <v>54</v>
      </c>
      <c r="B21" s="8" t="n">
        <f aca="false">SUMIFS(Datos!$L$2:$L$364,Datos!$E$2:$E$364,A21)/1000000</f>
        <v>217.94029543</v>
      </c>
      <c r="C21" s="8" t="n">
        <f aca="false">SUMIFS(Datos!$K$2:$K$364,Datos!$E$2:$E$364,A21)/1000</f>
        <v>64.754801</v>
      </c>
      <c r="D21" s="9" t="n">
        <f aca="false">IFERROR(B21*1000/C21,0)</f>
        <v>3365.62373853948</v>
      </c>
      <c r="E21" s="7"/>
      <c r="F21" s="7"/>
      <c r="G21" s="8"/>
      <c r="H21" s="7"/>
      <c r="I21" s="7"/>
      <c r="J21" s="7"/>
      <c r="K21" s="8"/>
      <c r="L21" s="7"/>
      <c r="M21" s="7"/>
      <c r="N21" s="8"/>
      <c r="O21" s="7"/>
      <c r="P21" s="7"/>
      <c r="Q21" s="8"/>
      <c r="R21" s="8"/>
      <c r="S21" s="7"/>
    </row>
    <row r="22" customFormat="false" ht="15" hidden="false" customHeight="false" outlineLevel="0" collapsed="false">
      <c r="A22" s="7" t="s">
        <v>55</v>
      </c>
      <c r="B22" s="8" t="n">
        <f aca="false">SUMIFS(Datos!$L$2:$L$364,Datos!$E$2:$E$364,A22)/1000000</f>
        <v>330.20655832</v>
      </c>
      <c r="C22" s="8" t="n">
        <f aca="false">SUMIFS(Datos!$K$2:$K$364,Datos!$E$2:$E$364,A22)/1000</f>
        <v>82.393751</v>
      </c>
      <c r="D22" s="9" t="n">
        <f aca="false">IFERROR(B22*1000/C22,0)</f>
        <v>4007.66507547399</v>
      </c>
      <c r="E22" s="7"/>
      <c r="F22" s="7"/>
      <c r="G22" s="8"/>
      <c r="H22" s="7"/>
      <c r="I22" s="7"/>
      <c r="J22" s="7"/>
      <c r="K22" s="8"/>
      <c r="L22" s="7"/>
      <c r="M22" s="7"/>
      <c r="N22" s="8"/>
      <c r="O22" s="7"/>
      <c r="P22" s="7"/>
      <c r="Q22" s="8"/>
      <c r="R22" s="8"/>
      <c r="S22" s="7"/>
    </row>
    <row r="23" customFormat="false" ht="15" hidden="false" customHeight="false" outlineLevel="0" collapsed="false">
      <c r="A23" s="7" t="s">
        <v>56</v>
      </c>
      <c r="B23" s="8" t="n">
        <f aca="false">SUMIFS(Datos!$L$2:$L$364,Datos!$E$2:$E$364,A23)/1000000</f>
        <v>177.44835401</v>
      </c>
      <c r="C23" s="8" t="n">
        <f aca="false">SUMIFS(Datos!$K$2:$K$364,Datos!$E$2:$E$364,A23)/1000</f>
        <v>65.077769</v>
      </c>
      <c r="D23" s="9" t="n">
        <f aca="false">IFERROR(B23*1000/C23,0)</f>
        <v>2726.71231261785</v>
      </c>
      <c r="E23" s="7"/>
      <c r="F23" s="7"/>
      <c r="G23" s="8"/>
      <c r="H23" s="7"/>
      <c r="I23" s="7"/>
      <c r="J23" s="7"/>
      <c r="K23" s="8"/>
      <c r="L23" s="7"/>
      <c r="M23" s="7"/>
      <c r="N23" s="8"/>
      <c r="O23" s="7"/>
      <c r="P23" s="7"/>
      <c r="Q23" s="8"/>
      <c r="R23" s="8"/>
      <c r="S23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6" min="5" style="0" width="9"/>
    <col collapsed="false" customWidth="true" hidden="false" outlineLevel="0" max="7" min="7" style="0" width="28"/>
    <col collapsed="false" customWidth="true" hidden="false" outlineLevel="0" max="8" min="8" style="0" width="15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5"/>
    <col collapsed="false" customWidth="true" hidden="false" outlineLevel="0" max="13" min="13" style="0" width="10"/>
    <col collapsed="false" customWidth="true" hidden="false" outlineLevel="0" max="14" min="14" style="0" width="50"/>
    <col collapsed="false" customWidth="true" hidden="false" outlineLevel="0" max="15" min="15" style="0" width="9"/>
    <col collapsed="false" customWidth="true" hidden="false" outlineLevel="0" max="16" min="16" style="0" width="10"/>
  </cols>
  <sheetData>
    <row r="1" customFormat="false" ht="15" hidden="false" customHeight="false" outlineLevel="0" collapsed="false">
      <c r="A1" s="12" t="s">
        <v>57</v>
      </c>
      <c r="B1" s="12" t="s">
        <v>58</v>
      </c>
      <c r="C1" s="12" t="s">
        <v>59</v>
      </c>
      <c r="D1" s="12" t="s">
        <v>13</v>
      </c>
      <c r="E1" s="12" t="s">
        <v>60</v>
      </c>
      <c r="F1" s="12" t="s">
        <v>61</v>
      </c>
      <c r="G1" s="12" t="s">
        <v>62</v>
      </c>
      <c r="H1" s="12" t="s">
        <v>9</v>
      </c>
      <c r="I1" s="12" t="s">
        <v>63</v>
      </c>
      <c r="J1" s="12" t="s">
        <v>64</v>
      </c>
      <c r="K1" s="12" t="s">
        <v>65</v>
      </c>
      <c r="L1" s="12" t="s">
        <v>66</v>
      </c>
      <c r="M1" s="12" t="s">
        <v>67</v>
      </c>
      <c r="N1" s="12" t="s">
        <v>68</v>
      </c>
      <c r="O1" s="12" t="s">
        <v>69</v>
      </c>
      <c r="P1" s="12" t="s">
        <v>70</v>
      </c>
    </row>
    <row r="2" customFormat="false" ht="15" hidden="false" customHeight="false" outlineLevel="0" collapsed="false">
      <c r="A2" s="0" t="n">
        <v>61226883</v>
      </c>
      <c r="B2" s="0" t="n">
        <v>1</v>
      </c>
      <c r="C2" s="13" t="n">
        <v>45659</v>
      </c>
      <c r="D2" s="0" t="n">
        <v>2025</v>
      </c>
      <c r="E2" s="14" t="s">
        <v>14</v>
      </c>
      <c r="F2" s="14" t="s">
        <v>71</v>
      </c>
      <c r="G2" s="14" t="s">
        <v>72</v>
      </c>
      <c r="H2" s="14" t="s">
        <v>33</v>
      </c>
      <c r="I2" s="14" t="s">
        <v>16</v>
      </c>
      <c r="J2" s="14" t="s">
        <v>27</v>
      </c>
      <c r="K2" s="15" t="n">
        <v>977.683</v>
      </c>
      <c r="L2" s="16" t="n">
        <v>253573.33</v>
      </c>
      <c r="M2" s="0" t="n">
        <v>40101</v>
      </c>
      <c r="N2" s="14" t="s">
        <v>73</v>
      </c>
      <c r="O2" s="14" t="s">
        <v>74</v>
      </c>
      <c r="P2" s="14" t="s">
        <v>74</v>
      </c>
    </row>
    <row r="3" customFormat="false" ht="15" hidden="false" customHeight="false" outlineLevel="0" collapsed="false">
      <c r="A3" s="0" t="n">
        <v>61712891</v>
      </c>
      <c r="B3" s="0" t="n">
        <v>1</v>
      </c>
      <c r="C3" s="13" t="n">
        <v>45667</v>
      </c>
      <c r="D3" s="0" t="n">
        <v>2025</v>
      </c>
      <c r="E3" s="14" t="s">
        <v>14</v>
      </c>
      <c r="F3" s="14" t="s">
        <v>71</v>
      </c>
      <c r="G3" s="14" t="s">
        <v>72</v>
      </c>
      <c r="H3" s="14" t="s">
        <v>30</v>
      </c>
      <c r="I3" s="14" t="s">
        <v>20</v>
      </c>
      <c r="J3" s="14" t="s">
        <v>24</v>
      </c>
      <c r="K3" s="15" t="n">
        <v>11044.973</v>
      </c>
      <c r="L3" s="16" t="n">
        <v>26880822.24</v>
      </c>
      <c r="M3" s="0" t="n">
        <v>151002</v>
      </c>
      <c r="N3" s="14" t="s">
        <v>75</v>
      </c>
      <c r="O3" s="14" t="s">
        <v>74</v>
      </c>
      <c r="P3" s="14" t="s">
        <v>74</v>
      </c>
    </row>
    <row r="4" customFormat="false" ht="15" hidden="false" customHeight="false" outlineLevel="0" collapsed="false">
      <c r="A4" s="0" t="n">
        <v>61931851</v>
      </c>
      <c r="B4" s="0" t="n">
        <v>1</v>
      </c>
      <c r="C4" s="13" t="n">
        <v>45671</v>
      </c>
      <c r="D4" s="0" t="n">
        <v>2025</v>
      </c>
      <c r="E4" s="14" t="s">
        <v>14</v>
      </c>
      <c r="F4" s="14" t="s">
        <v>71</v>
      </c>
      <c r="G4" s="14" t="s">
        <v>72</v>
      </c>
      <c r="H4" s="14" t="s">
        <v>30</v>
      </c>
      <c r="I4" s="14" t="s">
        <v>20</v>
      </c>
      <c r="J4" s="14" t="s">
        <v>27</v>
      </c>
      <c r="K4" s="15" t="n">
        <v>220.82</v>
      </c>
      <c r="L4" s="16" t="n">
        <v>302311.53</v>
      </c>
      <c r="M4" s="0" t="n">
        <v>150202</v>
      </c>
      <c r="N4" s="14" t="s">
        <v>76</v>
      </c>
      <c r="O4" s="14" t="s">
        <v>74</v>
      </c>
      <c r="P4" s="14" t="s">
        <v>74</v>
      </c>
    </row>
    <row r="5" customFormat="false" ht="15" hidden="false" customHeight="false" outlineLevel="0" collapsed="false">
      <c r="A5" s="0" t="n">
        <v>61928560</v>
      </c>
      <c r="B5" s="0" t="n">
        <v>1</v>
      </c>
      <c r="C5" s="13" t="n">
        <v>45671</v>
      </c>
      <c r="D5" s="0" t="n">
        <v>2025</v>
      </c>
      <c r="E5" s="14" t="s">
        <v>14</v>
      </c>
      <c r="F5" s="14" t="s">
        <v>71</v>
      </c>
      <c r="G5" s="14" t="s">
        <v>72</v>
      </c>
      <c r="H5" s="14" t="s">
        <v>30</v>
      </c>
      <c r="I5" s="14" t="s">
        <v>20</v>
      </c>
      <c r="J5" s="14" t="s">
        <v>27</v>
      </c>
      <c r="K5" s="15" t="n">
        <v>494.661</v>
      </c>
      <c r="L5" s="16" t="n">
        <v>319387.77</v>
      </c>
      <c r="M5" s="0" t="n">
        <v>150202</v>
      </c>
      <c r="N5" s="14" t="s">
        <v>77</v>
      </c>
      <c r="O5" s="14" t="s">
        <v>74</v>
      </c>
      <c r="P5" s="14" t="s">
        <v>74</v>
      </c>
    </row>
    <row r="6" customFormat="false" ht="15" hidden="false" customHeight="false" outlineLevel="0" collapsed="false">
      <c r="A6" s="0" t="n">
        <v>61906466</v>
      </c>
      <c r="B6" s="0" t="n">
        <v>1</v>
      </c>
      <c r="C6" s="13" t="n">
        <v>45670</v>
      </c>
      <c r="D6" s="0" t="n">
        <v>2025</v>
      </c>
      <c r="E6" s="14" t="s">
        <v>14</v>
      </c>
      <c r="F6" s="14" t="s">
        <v>71</v>
      </c>
      <c r="G6" s="14" t="s">
        <v>72</v>
      </c>
      <c r="H6" s="14" t="s">
        <v>30</v>
      </c>
      <c r="I6" s="14" t="s">
        <v>20</v>
      </c>
      <c r="J6" s="14" t="s">
        <v>27</v>
      </c>
      <c r="K6" s="15" t="n">
        <v>454.753</v>
      </c>
      <c r="L6" s="16" t="n">
        <v>168194.94</v>
      </c>
      <c r="M6" s="0" t="n">
        <v>150202</v>
      </c>
      <c r="N6" s="14" t="s">
        <v>78</v>
      </c>
      <c r="O6" s="14" t="s">
        <v>74</v>
      </c>
      <c r="P6" s="14" t="s">
        <v>74</v>
      </c>
    </row>
    <row r="7" customFormat="false" ht="15" hidden="false" customHeight="false" outlineLevel="0" collapsed="false">
      <c r="A7" s="0" t="n">
        <v>62407309</v>
      </c>
      <c r="B7" s="0" t="n">
        <v>1</v>
      </c>
      <c r="C7" s="13" t="n">
        <v>45678</v>
      </c>
      <c r="D7" s="0" t="n">
        <v>2025</v>
      </c>
      <c r="E7" s="14" t="s">
        <v>14</v>
      </c>
      <c r="F7" s="14" t="s">
        <v>71</v>
      </c>
      <c r="G7" s="14" t="s">
        <v>72</v>
      </c>
      <c r="H7" s="14" t="s">
        <v>15</v>
      </c>
      <c r="I7" s="14" t="s">
        <v>20</v>
      </c>
      <c r="J7" s="14" t="s">
        <v>17</v>
      </c>
      <c r="K7" s="15" t="n">
        <v>10931.792</v>
      </c>
      <c r="L7" s="16" t="n">
        <v>34569038.21</v>
      </c>
      <c r="M7" s="0" t="n">
        <v>190104</v>
      </c>
      <c r="N7" s="14" t="s">
        <v>79</v>
      </c>
      <c r="O7" s="14" t="s">
        <v>74</v>
      </c>
      <c r="P7" s="14" t="s">
        <v>74</v>
      </c>
    </row>
    <row r="8" customFormat="false" ht="15" hidden="false" customHeight="false" outlineLevel="0" collapsed="false">
      <c r="A8" s="0" t="n">
        <v>61989052</v>
      </c>
      <c r="B8" s="0" t="n">
        <v>1</v>
      </c>
      <c r="C8" s="13" t="n">
        <v>45672</v>
      </c>
      <c r="D8" s="0" t="n">
        <v>2025</v>
      </c>
      <c r="E8" s="14" t="s">
        <v>14</v>
      </c>
      <c r="F8" s="14" t="s">
        <v>71</v>
      </c>
      <c r="G8" s="14" t="s">
        <v>72</v>
      </c>
      <c r="H8" s="14" t="s">
        <v>30</v>
      </c>
      <c r="I8" s="14" t="s">
        <v>20</v>
      </c>
      <c r="J8" s="14" t="s">
        <v>27</v>
      </c>
      <c r="K8" s="15" t="n">
        <v>41.152</v>
      </c>
      <c r="L8" s="16" t="n">
        <v>96261.11</v>
      </c>
      <c r="M8" s="0" t="n">
        <v>150202</v>
      </c>
      <c r="N8" s="14" t="s">
        <v>77</v>
      </c>
      <c r="O8" s="14" t="s">
        <v>74</v>
      </c>
      <c r="P8" s="14" t="s">
        <v>74</v>
      </c>
    </row>
    <row r="9" customFormat="false" ht="15" hidden="false" customHeight="false" outlineLevel="0" collapsed="false">
      <c r="A9" s="0" t="n">
        <v>62100393</v>
      </c>
      <c r="B9" s="0" t="n">
        <v>1</v>
      </c>
      <c r="C9" s="13" t="n">
        <v>45673</v>
      </c>
      <c r="D9" s="0" t="n">
        <v>2025</v>
      </c>
      <c r="E9" s="14" t="s">
        <v>14</v>
      </c>
      <c r="F9" s="14" t="s">
        <v>71</v>
      </c>
      <c r="G9" s="14" t="s">
        <v>72</v>
      </c>
      <c r="H9" s="14" t="s">
        <v>26</v>
      </c>
      <c r="I9" s="14" t="s">
        <v>20</v>
      </c>
      <c r="J9" s="14" t="s">
        <v>17</v>
      </c>
      <c r="K9" s="15" t="n">
        <v>10983.971</v>
      </c>
      <c r="L9" s="16" t="n">
        <v>31609428.79</v>
      </c>
      <c r="M9" s="0" t="n">
        <v>50612</v>
      </c>
      <c r="N9" s="14" t="s">
        <v>79</v>
      </c>
      <c r="O9" s="14" t="s">
        <v>74</v>
      </c>
      <c r="P9" s="14" t="s">
        <v>74</v>
      </c>
    </row>
    <row r="10" customFormat="false" ht="15" hidden="false" customHeight="false" outlineLevel="0" collapsed="false">
      <c r="A10" s="0" t="n">
        <v>62101023</v>
      </c>
      <c r="B10" s="0" t="n">
        <v>1</v>
      </c>
      <c r="C10" s="13" t="n">
        <v>45673</v>
      </c>
      <c r="D10" s="0" t="n">
        <v>2025</v>
      </c>
      <c r="E10" s="14" t="s">
        <v>14</v>
      </c>
      <c r="F10" s="14" t="s">
        <v>71</v>
      </c>
      <c r="G10" s="14" t="s">
        <v>72</v>
      </c>
      <c r="H10" s="14" t="s">
        <v>39</v>
      </c>
      <c r="I10" s="14" t="s">
        <v>20</v>
      </c>
      <c r="J10" s="14" t="s">
        <v>27</v>
      </c>
      <c r="K10" s="15" t="n">
        <v>318.25</v>
      </c>
      <c r="L10" s="16" t="n">
        <v>921337.81</v>
      </c>
      <c r="M10" s="0" t="n">
        <v>131104</v>
      </c>
      <c r="N10" s="14" t="s">
        <v>80</v>
      </c>
      <c r="O10" s="14" t="s">
        <v>74</v>
      </c>
      <c r="P10" s="14" t="s">
        <v>74</v>
      </c>
    </row>
    <row r="11" customFormat="false" ht="15" hidden="false" customHeight="false" outlineLevel="0" collapsed="false">
      <c r="A11" s="0" t="n">
        <v>62482370</v>
      </c>
      <c r="B11" s="0" t="n">
        <v>1</v>
      </c>
      <c r="C11" s="13" t="n">
        <v>45679</v>
      </c>
      <c r="D11" s="0" t="n">
        <v>2025</v>
      </c>
      <c r="E11" s="14" t="s">
        <v>14</v>
      </c>
      <c r="F11" s="14" t="s">
        <v>71</v>
      </c>
      <c r="G11" s="14" t="s">
        <v>72</v>
      </c>
      <c r="H11" s="14" t="s">
        <v>19</v>
      </c>
      <c r="I11" s="14" t="s">
        <v>20</v>
      </c>
      <c r="J11" s="14" t="s">
        <v>17</v>
      </c>
      <c r="K11" s="15" t="n">
        <v>10880.514</v>
      </c>
      <c r="L11" s="16" t="n">
        <v>32359015</v>
      </c>
      <c r="M11" s="0" t="n">
        <v>120805</v>
      </c>
      <c r="N11" s="14" t="s">
        <v>79</v>
      </c>
      <c r="O11" s="14" t="s">
        <v>74</v>
      </c>
      <c r="P11" s="14" t="s">
        <v>74</v>
      </c>
    </row>
    <row r="12" customFormat="false" ht="28.35" hidden="false" customHeight="false" outlineLevel="0" collapsed="false">
      <c r="A12" s="0" t="n">
        <v>62645786</v>
      </c>
      <c r="B12" s="0" t="n">
        <v>1</v>
      </c>
      <c r="C12" s="13" t="n">
        <v>45681</v>
      </c>
      <c r="D12" s="0" t="n">
        <v>2025</v>
      </c>
      <c r="E12" s="14" t="s">
        <v>14</v>
      </c>
      <c r="F12" s="14" t="s">
        <v>71</v>
      </c>
      <c r="G12" s="14" t="s">
        <v>72</v>
      </c>
      <c r="H12" s="14" t="s">
        <v>30</v>
      </c>
      <c r="I12" s="14" t="s">
        <v>20</v>
      </c>
      <c r="J12" s="14" t="s">
        <v>27</v>
      </c>
      <c r="K12" s="15" t="n">
        <v>1062.588</v>
      </c>
      <c r="L12" s="16" t="n">
        <v>401360.74</v>
      </c>
      <c r="M12" s="0" t="n">
        <v>150202</v>
      </c>
      <c r="N12" s="17" t="s">
        <v>81</v>
      </c>
      <c r="O12" s="14" t="s">
        <v>74</v>
      </c>
      <c r="P12" s="14" t="s">
        <v>74</v>
      </c>
    </row>
    <row r="13" customFormat="false" ht="15" hidden="false" customHeight="false" outlineLevel="0" collapsed="false">
      <c r="A13" s="0" t="n">
        <v>62555330</v>
      </c>
      <c r="B13" s="0" t="n">
        <v>1</v>
      </c>
      <c r="C13" s="13" t="n">
        <v>45680</v>
      </c>
      <c r="D13" s="0" t="n">
        <v>2025</v>
      </c>
      <c r="E13" s="14" t="s">
        <v>14</v>
      </c>
      <c r="F13" s="14" t="s">
        <v>71</v>
      </c>
      <c r="G13" s="14" t="s">
        <v>72</v>
      </c>
      <c r="H13" s="14" t="s">
        <v>33</v>
      </c>
      <c r="I13" s="14" t="s">
        <v>16</v>
      </c>
      <c r="J13" s="14" t="s">
        <v>27</v>
      </c>
      <c r="K13" s="15" t="n">
        <v>960.589</v>
      </c>
      <c r="L13" s="16" t="n">
        <v>261108.8</v>
      </c>
      <c r="M13" s="0" t="n">
        <v>40101</v>
      </c>
      <c r="N13" s="14" t="s">
        <v>82</v>
      </c>
      <c r="O13" s="14" t="s">
        <v>74</v>
      </c>
      <c r="P13" s="14" t="s">
        <v>74</v>
      </c>
    </row>
    <row r="14" customFormat="false" ht="15" hidden="false" customHeight="false" outlineLevel="0" collapsed="false">
      <c r="A14" s="0" t="n">
        <v>63170489</v>
      </c>
      <c r="B14" s="0" t="n">
        <v>1</v>
      </c>
      <c r="C14" s="13" t="n">
        <v>45689</v>
      </c>
      <c r="D14" s="0" t="n">
        <v>2025</v>
      </c>
      <c r="E14" s="14" t="s">
        <v>18</v>
      </c>
      <c r="F14" s="14" t="s">
        <v>71</v>
      </c>
      <c r="G14" s="14" t="s">
        <v>72</v>
      </c>
      <c r="H14" s="14" t="s">
        <v>42</v>
      </c>
      <c r="I14" s="14" t="s">
        <v>16</v>
      </c>
      <c r="J14" s="14" t="s">
        <v>27</v>
      </c>
      <c r="K14" s="15" t="n">
        <v>107.184</v>
      </c>
      <c r="L14" s="16" t="n">
        <v>86473.98</v>
      </c>
      <c r="M14" s="0" t="n">
        <v>60202</v>
      </c>
      <c r="N14" s="14" t="s">
        <v>83</v>
      </c>
      <c r="O14" s="14" t="s">
        <v>74</v>
      </c>
      <c r="P14" s="14" t="s">
        <v>74</v>
      </c>
    </row>
    <row r="15" customFormat="false" ht="15" hidden="false" customHeight="false" outlineLevel="0" collapsed="false">
      <c r="A15" s="0" t="n">
        <v>63481342</v>
      </c>
      <c r="B15" s="0" t="n">
        <v>1</v>
      </c>
      <c r="C15" s="13" t="n">
        <v>45694</v>
      </c>
      <c r="D15" s="0" t="n">
        <v>2025</v>
      </c>
      <c r="E15" s="14" t="s">
        <v>18</v>
      </c>
      <c r="F15" s="14" t="s">
        <v>71</v>
      </c>
      <c r="G15" s="14" t="s">
        <v>72</v>
      </c>
      <c r="H15" s="14" t="s">
        <v>23</v>
      </c>
      <c r="I15" s="14" t="s">
        <v>20</v>
      </c>
      <c r="J15" s="14" t="s">
        <v>27</v>
      </c>
      <c r="K15" s="15" t="n">
        <v>1444.015</v>
      </c>
      <c r="L15" s="16" t="n">
        <v>3748396.54</v>
      </c>
      <c r="M15" s="0" t="n">
        <v>110304</v>
      </c>
      <c r="N15" s="14" t="s">
        <v>84</v>
      </c>
      <c r="O15" s="14" t="s">
        <v>74</v>
      </c>
      <c r="P15" s="14" t="s">
        <v>74</v>
      </c>
    </row>
    <row r="16" customFormat="false" ht="28.35" hidden="false" customHeight="false" outlineLevel="0" collapsed="false">
      <c r="A16" s="0" t="n">
        <v>63394670</v>
      </c>
      <c r="B16" s="0" t="n">
        <v>1</v>
      </c>
      <c r="C16" s="13" t="n">
        <v>45693</v>
      </c>
      <c r="D16" s="0" t="n">
        <v>2025</v>
      </c>
      <c r="E16" s="14" t="s">
        <v>18</v>
      </c>
      <c r="F16" s="14" t="s">
        <v>71</v>
      </c>
      <c r="G16" s="14" t="s">
        <v>72</v>
      </c>
      <c r="H16" s="14" t="s">
        <v>85</v>
      </c>
      <c r="I16" s="14" t="s">
        <v>20</v>
      </c>
      <c r="J16" s="14" t="s">
        <v>27</v>
      </c>
      <c r="K16" s="15" t="n">
        <v>1235.805</v>
      </c>
      <c r="L16" s="16" t="n">
        <v>1730522.46</v>
      </c>
      <c r="M16" s="0" t="n">
        <v>80101</v>
      </c>
      <c r="N16" s="17" t="s">
        <v>86</v>
      </c>
      <c r="O16" s="14" t="s">
        <v>74</v>
      </c>
      <c r="P16" s="14" t="s">
        <v>74</v>
      </c>
    </row>
    <row r="17" customFormat="false" ht="15" hidden="false" customHeight="false" outlineLevel="0" collapsed="false">
      <c r="A17" s="0" t="n">
        <v>63484888</v>
      </c>
      <c r="B17" s="0" t="n">
        <v>1</v>
      </c>
      <c r="C17" s="13" t="n">
        <v>45694</v>
      </c>
      <c r="D17" s="0" t="n">
        <v>2025</v>
      </c>
      <c r="E17" s="14" t="s">
        <v>18</v>
      </c>
      <c r="F17" s="14" t="s">
        <v>71</v>
      </c>
      <c r="G17" s="14" t="s">
        <v>72</v>
      </c>
      <c r="H17" s="14" t="s">
        <v>30</v>
      </c>
      <c r="I17" s="14" t="s">
        <v>16</v>
      </c>
      <c r="J17" s="14" t="s">
        <v>27</v>
      </c>
      <c r="K17" s="15" t="n">
        <v>974.251</v>
      </c>
      <c r="L17" s="16" t="n">
        <v>349376.15</v>
      </c>
      <c r="M17" s="0" t="n">
        <v>150202</v>
      </c>
      <c r="N17" s="14" t="s">
        <v>87</v>
      </c>
      <c r="O17" s="14" t="s">
        <v>74</v>
      </c>
      <c r="P17" s="14" t="s">
        <v>74</v>
      </c>
    </row>
    <row r="18" customFormat="false" ht="15" hidden="false" customHeight="false" outlineLevel="0" collapsed="false">
      <c r="A18" s="0" t="n">
        <v>63655892</v>
      </c>
      <c r="B18" s="0" t="n">
        <v>1</v>
      </c>
      <c r="C18" s="13" t="n">
        <v>45696</v>
      </c>
      <c r="D18" s="0" t="n">
        <v>2025</v>
      </c>
      <c r="E18" s="14" t="s">
        <v>18</v>
      </c>
      <c r="F18" s="14" t="s">
        <v>71</v>
      </c>
      <c r="G18" s="14" t="s">
        <v>72</v>
      </c>
      <c r="H18" s="14" t="s">
        <v>19</v>
      </c>
      <c r="I18" s="14" t="s">
        <v>20</v>
      </c>
      <c r="J18" s="14" t="s">
        <v>17</v>
      </c>
      <c r="K18" s="15" t="n">
        <v>10916.462</v>
      </c>
      <c r="L18" s="16" t="n">
        <v>33001127.5</v>
      </c>
      <c r="M18" s="0" t="n">
        <v>120805</v>
      </c>
      <c r="N18" s="14" t="s">
        <v>79</v>
      </c>
      <c r="O18" s="14" t="s">
        <v>74</v>
      </c>
      <c r="P18" s="14" t="s">
        <v>74</v>
      </c>
    </row>
    <row r="19" customFormat="false" ht="28.35" hidden="false" customHeight="false" outlineLevel="0" collapsed="false">
      <c r="A19" s="0" t="n">
        <v>63635836</v>
      </c>
      <c r="B19" s="0" t="n">
        <v>1</v>
      </c>
      <c r="C19" s="13" t="n">
        <v>45696</v>
      </c>
      <c r="D19" s="0" t="n">
        <v>2025</v>
      </c>
      <c r="E19" s="14" t="s">
        <v>18</v>
      </c>
      <c r="F19" s="14" t="s">
        <v>71</v>
      </c>
      <c r="G19" s="14" t="s">
        <v>72</v>
      </c>
      <c r="H19" s="14" t="s">
        <v>26</v>
      </c>
      <c r="I19" s="14" t="s">
        <v>20</v>
      </c>
      <c r="J19" s="14" t="s">
        <v>27</v>
      </c>
      <c r="K19" s="15" t="n">
        <v>314.121</v>
      </c>
      <c r="L19" s="16" t="n">
        <v>555761.37</v>
      </c>
      <c r="M19" s="0" t="n">
        <v>50612</v>
      </c>
      <c r="N19" s="17" t="s">
        <v>88</v>
      </c>
      <c r="O19" s="14" t="s">
        <v>74</v>
      </c>
      <c r="P19" s="14" t="s">
        <v>74</v>
      </c>
    </row>
    <row r="20" customFormat="false" ht="15" hidden="false" customHeight="false" outlineLevel="0" collapsed="false">
      <c r="A20" s="0" t="n">
        <v>64056285</v>
      </c>
      <c r="B20" s="0" t="n">
        <v>1</v>
      </c>
      <c r="C20" s="13" t="n">
        <v>45702</v>
      </c>
      <c r="D20" s="0" t="n">
        <v>2025</v>
      </c>
      <c r="E20" s="14" t="s">
        <v>18</v>
      </c>
      <c r="F20" s="14" t="s">
        <v>71</v>
      </c>
      <c r="G20" s="14" t="s">
        <v>72</v>
      </c>
      <c r="H20" s="14" t="s">
        <v>15</v>
      </c>
      <c r="I20" s="14" t="s">
        <v>20</v>
      </c>
      <c r="J20" s="14" t="s">
        <v>17</v>
      </c>
      <c r="K20" s="15" t="n">
        <v>10803.935</v>
      </c>
      <c r="L20" s="16" t="n">
        <v>35462539.53</v>
      </c>
      <c r="M20" s="0" t="n">
        <v>190104</v>
      </c>
      <c r="N20" s="14" t="s">
        <v>79</v>
      </c>
      <c r="O20" s="14" t="s">
        <v>74</v>
      </c>
      <c r="P20" s="14" t="s">
        <v>74</v>
      </c>
    </row>
    <row r="21" customFormat="false" ht="28.35" hidden="false" customHeight="false" outlineLevel="0" collapsed="false">
      <c r="A21" s="0" t="n">
        <v>63923050</v>
      </c>
      <c r="B21" s="0" t="n">
        <v>1</v>
      </c>
      <c r="C21" s="13" t="n">
        <v>45700</v>
      </c>
      <c r="D21" s="0" t="n">
        <v>2025</v>
      </c>
      <c r="E21" s="14" t="s">
        <v>18</v>
      </c>
      <c r="F21" s="14" t="s">
        <v>71</v>
      </c>
      <c r="G21" s="14" t="s">
        <v>72</v>
      </c>
      <c r="H21" s="14" t="s">
        <v>30</v>
      </c>
      <c r="I21" s="14" t="s">
        <v>20</v>
      </c>
      <c r="J21" s="14" t="s">
        <v>27</v>
      </c>
      <c r="K21" s="15" t="n">
        <v>647.87</v>
      </c>
      <c r="L21" s="16" t="n">
        <v>237962.65</v>
      </c>
      <c r="M21" s="0" t="n">
        <v>150202</v>
      </c>
      <c r="N21" s="17" t="s">
        <v>89</v>
      </c>
      <c r="O21" s="14" t="s">
        <v>74</v>
      </c>
      <c r="P21" s="14" t="s">
        <v>74</v>
      </c>
    </row>
    <row r="22" customFormat="false" ht="15" hidden="false" customHeight="false" outlineLevel="0" collapsed="false">
      <c r="A22" s="0" t="n">
        <v>64056651</v>
      </c>
      <c r="B22" s="0" t="n">
        <v>1</v>
      </c>
      <c r="C22" s="13" t="n">
        <v>45702</v>
      </c>
      <c r="D22" s="0" t="n">
        <v>2025</v>
      </c>
      <c r="E22" s="14" t="s">
        <v>18</v>
      </c>
      <c r="F22" s="14" t="s">
        <v>71</v>
      </c>
      <c r="G22" s="14" t="s">
        <v>72</v>
      </c>
      <c r="H22" s="14" t="s">
        <v>15</v>
      </c>
      <c r="I22" s="14" t="s">
        <v>20</v>
      </c>
      <c r="J22" s="14" t="s">
        <v>17</v>
      </c>
      <c r="K22" s="15" t="n">
        <v>10088.617</v>
      </c>
      <c r="L22" s="16" t="n">
        <v>32528077.07</v>
      </c>
      <c r="M22" s="0" t="n">
        <v>190104</v>
      </c>
      <c r="N22" s="14" t="s">
        <v>79</v>
      </c>
      <c r="O22" s="14" t="s">
        <v>74</v>
      </c>
      <c r="P22" s="14" t="s">
        <v>74</v>
      </c>
    </row>
    <row r="23" customFormat="false" ht="15" hidden="false" customHeight="false" outlineLevel="0" collapsed="false">
      <c r="A23" s="0" t="n">
        <v>64203782</v>
      </c>
      <c r="B23" s="0" t="n">
        <v>1</v>
      </c>
      <c r="C23" s="13" t="n">
        <v>45705</v>
      </c>
      <c r="D23" s="0" t="n">
        <v>2025</v>
      </c>
      <c r="E23" s="14" t="s">
        <v>18</v>
      </c>
      <c r="F23" s="14" t="s">
        <v>71</v>
      </c>
      <c r="G23" s="14" t="s">
        <v>72</v>
      </c>
      <c r="H23" s="14" t="s">
        <v>42</v>
      </c>
      <c r="I23" s="14" t="s">
        <v>16</v>
      </c>
      <c r="J23" s="14" t="s">
        <v>27</v>
      </c>
      <c r="K23" s="15" t="n">
        <v>398.186</v>
      </c>
      <c r="L23" s="16" t="n">
        <v>341147.96</v>
      </c>
      <c r="M23" s="0" t="n">
        <v>60202</v>
      </c>
      <c r="N23" s="14" t="s">
        <v>90</v>
      </c>
      <c r="O23" s="14" t="s">
        <v>74</v>
      </c>
      <c r="P23" s="14" t="s">
        <v>74</v>
      </c>
    </row>
    <row r="24" customFormat="false" ht="15" hidden="false" customHeight="false" outlineLevel="0" collapsed="false">
      <c r="A24" s="0" t="n">
        <v>64104533</v>
      </c>
      <c r="B24" s="0" t="n">
        <v>1</v>
      </c>
      <c r="C24" s="13" t="n">
        <v>45703</v>
      </c>
      <c r="D24" s="0" t="n">
        <v>2025</v>
      </c>
      <c r="E24" s="14" t="s">
        <v>18</v>
      </c>
      <c r="F24" s="14" t="s">
        <v>71</v>
      </c>
      <c r="G24" s="14" t="s">
        <v>72</v>
      </c>
      <c r="H24" s="14" t="s">
        <v>36</v>
      </c>
      <c r="I24" s="14" t="s">
        <v>20</v>
      </c>
      <c r="J24" s="14" t="s">
        <v>27</v>
      </c>
      <c r="K24" s="15" t="n">
        <v>999.884</v>
      </c>
      <c r="L24" s="16" t="n">
        <v>3403861.3</v>
      </c>
      <c r="M24" s="0" t="n">
        <v>20106</v>
      </c>
      <c r="N24" s="14" t="s">
        <v>91</v>
      </c>
      <c r="O24" s="14" t="s">
        <v>74</v>
      </c>
      <c r="P24" s="14" t="s">
        <v>74</v>
      </c>
    </row>
    <row r="25" customFormat="false" ht="15" hidden="false" customHeight="false" outlineLevel="0" collapsed="false">
      <c r="A25" s="0" t="n">
        <v>64373123</v>
      </c>
      <c r="B25" s="0" t="n">
        <v>1</v>
      </c>
      <c r="C25" s="13" t="n">
        <v>45707</v>
      </c>
      <c r="D25" s="0" t="n">
        <v>2025</v>
      </c>
      <c r="E25" s="14" t="s">
        <v>18</v>
      </c>
      <c r="F25" s="14" t="s">
        <v>71</v>
      </c>
      <c r="G25" s="14" t="s">
        <v>72</v>
      </c>
      <c r="H25" s="14" t="s">
        <v>42</v>
      </c>
      <c r="I25" s="14" t="s">
        <v>16</v>
      </c>
      <c r="J25" s="14" t="s">
        <v>27</v>
      </c>
      <c r="K25" s="15" t="n">
        <v>158.454</v>
      </c>
      <c r="L25" s="16" t="n">
        <v>146989.64</v>
      </c>
      <c r="M25" s="0" t="n">
        <v>60202</v>
      </c>
      <c r="N25" s="14" t="s">
        <v>92</v>
      </c>
      <c r="O25" s="14" t="s">
        <v>74</v>
      </c>
      <c r="P25" s="14" t="s">
        <v>74</v>
      </c>
    </row>
    <row r="26" customFormat="false" ht="15" hidden="false" customHeight="false" outlineLevel="0" collapsed="false">
      <c r="A26" s="0" t="n">
        <v>64373284</v>
      </c>
      <c r="B26" s="0" t="n">
        <v>1</v>
      </c>
      <c r="C26" s="13" t="n">
        <v>45707</v>
      </c>
      <c r="D26" s="0" t="n">
        <v>2025</v>
      </c>
      <c r="E26" s="14" t="s">
        <v>18</v>
      </c>
      <c r="F26" s="14" t="s">
        <v>71</v>
      </c>
      <c r="G26" s="14" t="s">
        <v>72</v>
      </c>
      <c r="H26" s="14" t="s">
        <v>26</v>
      </c>
      <c r="I26" s="14" t="s">
        <v>20</v>
      </c>
      <c r="J26" s="14" t="s">
        <v>17</v>
      </c>
      <c r="K26" s="15" t="n">
        <v>10993.371</v>
      </c>
      <c r="L26" s="16" t="n">
        <v>37930642.55</v>
      </c>
      <c r="M26" s="0" t="n">
        <v>50612</v>
      </c>
      <c r="N26" s="14" t="s">
        <v>79</v>
      </c>
      <c r="O26" s="14" t="s">
        <v>74</v>
      </c>
      <c r="P26" s="14" t="s">
        <v>74</v>
      </c>
    </row>
    <row r="27" customFormat="false" ht="15" hidden="false" customHeight="false" outlineLevel="0" collapsed="false">
      <c r="A27" s="0" t="n">
        <v>64360415</v>
      </c>
      <c r="B27" s="0" t="n">
        <v>1</v>
      </c>
      <c r="C27" s="13" t="n">
        <v>45707</v>
      </c>
      <c r="D27" s="0" t="n">
        <v>2025</v>
      </c>
      <c r="E27" s="14" t="s">
        <v>18</v>
      </c>
      <c r="F27" s="14" t="s">
        <v>71</v>
      </c>
      <c r="G27" s="14" t="s">
        <v>72</v>
      </c>
      <c r="H27" s="14" t="s">
        <v>42</v>
      </c>
      <c r="I27" s="14" t="s">
        <v>16</v>
      </c>
      <c r="J27" s="14" t="s">
        <v>27</v>
      </c>
      <c r="K27" s="15" t="n">
        <v>131.79</v>
      </c>
      <c r="L27" s="16" t="n">
        <v>107587.3</v>
      </c>
      <c r="M27" s="0" t="n">
        <v>60202</v>
      </c>
      <c r="N27" s="14" t="s">
        <v>93</v>
      </c>
      <c r="O27" s="14" t="s">
        <v>74</v>
      </c>
      <c r="P27" s="14" t="s">
        <v>74</v>
      </c>
    </row>
    <row r="28" customFormat="false" ht="15" hidden="false" customHeight="false" outlineLevel="0" collapsed="false">
      <c r="A28" s="0" t="n">
        <v>64378985</v>
      </c>
      <c r="B28" s="0" t="n">
        <v>1</v>
      </c>
      <c r="C28" s="13" t="n">
        <v>45707</v>
      </c>
      <c r="D28" s="0" t="n">
        <v>2025</v>
      </c>
      <c r="E28" s="14" t="s">
        <v>18</v>
      </c>
      <c r="F28" s="14" t="s">
        <v>71</v>
      </c>
      <c r="G28" s="14" t="s">
        <v>72</v>
      </c>
      <c r="H28" s="14" t="s">
        <v>42</v>
      </c>
      <c r="I28" s="14" t="s">
        <v>16</v>
      </c>
      <c r="J28" s="14" t="s">
        <v>27</v>
      </c>
      <c r="K28" s="15" t="n">
        <v>239.966</v>
      </c>
      <c r="L28" s="16" t="n">
        <v>202431.16</v>
      </c>
      <c r="M28" s="0" t="n">
        <v>60202</v>
      </c>
      <c r="N28" s="14" t="s">
        <v>92</v>
      </c>
      <c r="O28" s="14" t="s">
        <v>74</v>
      </c>
      <c r="P28" s="14" t="s">
        <v>74</v>
      </c>
    </row>
    <row r="29" customFormat="false" ht="15" hidden="false" customHeight="false" outlineLevel="0" collapsed="false">
      <c r="A29" s="0" t="n">
        <v>64434018</v>
      </c>
      <c r="B29" s="0" t="n">
        <v>1</v>
      </c>
      <c r="C29" s="13" t="n">
        <v>45708</v>
      </c>
      <c r="D29" s="0" t="n">
        <v>2025</v>
      </c>
      <c r="E29" s="14" t="s">
        <v>18</v>
      </c>
      <c r="F29" s="14" t="s">
        <v>71</v>
      </c>
      <c r="G29" s="14" t="s">
        <v>72</v>
      </c>
      <c r="H29" s="14" t="s">
        <v>42</v>
      </c>
      <c r="I29" s="14" t="s">
        <v>16</v>
      </c>
      <c r="J29" s="14" t="s">
        <v>27</v>
      </c>
      <c r="K29" s="15" t="n">
        <v>157.787</v>
      </c>
      <c r="L29" s="16" t="n">
        <v>129272.63</v>
      </c>
      <c r="M29" s="0" t="n">
        <v>60202</v>
      </c>
      <c r="N29" s="14" t="s">
        <v>92</v>
      </c>
      <c r="O29" s="14" t="s">
        <v>74</v>
      </c>
      <c r="P29" s="14" t="s">
        <v>74</v>
      </c>
    </row>
    <row r="30" customFormat="false" ht="15" hidden="false" customHeight="false" outlineLevel="0" collapsed="false">
      <c r="A30" s="0" t="n">
        <v>64439224</v>
      </c>
      <c r="B30" s="0" t="n">
        <v>1</v>
      </c>
      <c r="C30" s="13" t="n">
        <v>45708</v>
      </c>
      <c r="D30" s="0" t="n">
        <v>2025</v>
      </c>
      <c r="E30" s="14" t="s">
        <v>18</v>
      </c>
      <c r="F30" s="14" t="s">
        <v>71</v>
      </c>
      <c r="G30" s="14" t="s">
        <v>72</v>
      </c>
      <c r="H30" s="14" t="s">
        <v>39</v>
      </c>
      <c r="I30" s="14" t="s">
        <v>20</v>
      </c>
      <c r="J30" s="14" t="s">
        <v>27</v>
      </c>
      <c r="K30" s="15" t="n">
        <v>267.891</v>
      </c>
      <c r="L30" s="16" t="n">
        <v>805201.36</v>
      </c>
      <c r="M30" s="0" t="n">
        <v>131104</v>
      </c>
      <c r="N30" s="14" t="s">
        <v>94</v>
      </c>
      <c r="O30" s="14" t="s">
        <v>74</v>
      </c>
      <c r="P30" s="14" t="s">
        <v>74</v>
      </c>
    </row>
    <row r="31" customFormat="false" ht="41.75" hidden="false" customHeight="false" outlineLevel="0" collapsed="false">
      <c r="A31" s="0" t="n">
        <v>64444352</v>
      </c>
      <c r="B31" s="0" t="n">
        <v>1</v>
      </c>
      <c r="C31" s="13" t="n">
        <v>45708</v>
      </c>
      <c r="D31" s="0" t="n">
        <v>2025</v>
      </c>
      <c r="E31" s="14" t="s">
        <v>18</v>
      </c>
      <c r="F31" s="14" t="s">
        <v>71</v>
      </c>
      <c r="G31" s="14" t="s">
        <v>72</v>
      </c>
      <c r="H31" s="14" t="s">
        <v>44</v>
      </c>
      <c r="I31" s="14" t="s">
        <v>20</v>
      </c>
      <c r="J31" s="14" t="s">
        <v>27</v>
      </c>
      <c r="K31" s="15" t="n">
        <v>1292.851</v>
      </c>
      <c r="L31" s="16" t="n">
        <v>2054453.77</v>
      </c>
      <c r="M31" s="0" t="n">
        <v>200210</v>
      </c>
      <c r="N31" s="17" t="s">
        <v>95</v>
      </c>
      <c r="O31" s="14" t="s">
        <v>74</v>
      </c>
      <c r="P31" s="14" t="s">
        <v>74</v>
      </c>
    </row>
    <row r="32" customFormat="false" ht="15" hidden="false" customHeight="false" outlineLevel="0" collapsed="false">
      <c r="A32" s="0" t="n">
        <v>64989565</v>
      </c>
      <c r="B32" s="0" t="n">
        <v>1</v>
      </c>
      <c r="C32" s="13" t="n">
        <v>45716</v>
      </c>
      <c r="D32" s="0" t="n">
        <v>2025</v>
      </c>
      <c r="E32" s="14" t="s">
        <v>18</v>
      </c>
      <c r="F32" s="14" t="s">
        <v>71</v>
      </c>
      <c r="G32" s="14" t="s">
        <v>72</v>
      </c>
      <c r="H32" s="14" t="s">
        <v>19</v>
      </c>
      <c r="I32" s="14" t="s">
        <v>20</v>
      </c>
      <c r="J32" s="14" t="s">
        <v>17</v>
      </c>
      <c r="K32" s="15" t="n">
        <v>10893.349</v>
      </c>
      <c r="L32" s="16" t="n">
        <v>35281607.01</v>
      </c>
      <c r="M32" s="0" t="n">
        <v>120805</v>
      </c>
      <c r="N32" s="14" t="s">
        <v>79</v>
      </c>
      <c r="O32" s="14" t="s">
        <v>74</v>
      </c>
      <c r="P32" s="14" t="s">
        <v>74</v>
      </c>
    </row>
    <row r="33" customFormat="false" ht="15" hidden="false" customHeight="false" outlineLevel="0" collapsed="false">
      <c r="A33" s="0" t="n">
        <v>65276400</v>
      </c>
      <c r="B33" s="0" t="n">
        <v>1</v>
      </c>
      <c r="C33" s="13" t="n">
        <v>45721</v>
      </c>
      <c r="D33" s="0" t="n">
        <v>2025</v>
      </c>
      <c r="E33" s="14" t="s">
        <v>22</v>
      </c>
      <c r="F33" s="14" t="s">
        <v>71</v>
      </c>
      <c r="G33" s="14" t="s">
        <v>72</v>
      </c>
      <c r="H33" s="14" t="s">
        <v>15</v>
      </c>
      <c r="I33" s="14" t="s">
        <v>20</v>
      </c>
      <c r="J33" s="14" t="s">
        <v>24</v>
      </c>
      <c r="K33" s="15" t="n">
        <v>11130.797</v>
      </c>
      <c r="L33" s="16" t="n">
        <v>31743070.11</v>
      </c>
      <c r="M33" s="0" t="n">
        <v>190104</v>
      </c>
      <c r="N33" s="14" t="s">
        <v>96</v>
      </c>
      <c r="O33" s="14" t="s">
        <v>74</v>
      </c>
      <c r="P33" s="14" t="s">
        <v>74</v>
      </c>
    </row>
    <row r="34" customFormat="false" ht="15" hidden="false" customHeight="false" outlineLevel="0" collapsed="false">
      <c r="A34" s="0" t="n">
        <v>65411658</v>
      </c>
      <c r="B34" s="0" t="n">
        <v>1</v>
      </c>
      <c r="C34" s="13" t="n">
        <v>45723</v>
      </c>
      <c r="D34" s="0" t="n">
        <v>2025</v>
      </c>
      <c r="E34" s="14" t="s">
        <v>22</v>
      </c>
      <c r="F34" s="14" t="s">
        <v>71</v>
      </c>
      <c r="G34" s="14" t="s">
        <v>72</v>
      </c>
      <c r="H34" s="14" t="s">
        <v>39</v>
      </c>
      <c r="I34" s="14" t="s">
        <v>16</v>
      </c>
      <c r="J34" s="14" t="s">
        <v>27</v>
      </c>
      <c r="K34" s="15" t="n">
        <v>211.715</v>
      </c>
      <c r="L34" s="16" t="n">
        <v>195371.24</v>
      </c>
      <c r="M34" s="0" t="n">
        <v>130101</v>
      </c>
      <c r="N34" s="14" t="s">
        <v>97</v>
      </c>
      <c r="O34" s="14" t="s">
        <v>74</v>
      </c>
      <c r="P34" s="14" t="s">
        <v>74</v>
      </c>
    </row>
    <row r="35" customFormat="false" ht="15" hidden="false" customHeight="false" outlineLevel="0" collapsed="false">
      <c r="A35" s="0" t="n">
        <v>65643328</v>
      </c>
      <c r="B35" s="0" t="n">
        <v>1</v>
      </c>
      <c r="C35" s="13" t="n">
        <v>45727</v>
      </c>
      <c r="D35" s="0" t="n">
        <v>2025</v>
      </c>
      <c r="E35" s="14" t="s">
        <v>22</v>
      </c>
      <c r="F35" s="14" t="s">
        <v>71</v>
      </c>
      <c r="G35" s="14" t="s">
        <v>72</v>
      </c>
      <c r="H35" s="14" t="s">
        <v>19</v>
      </c>
      <c r="I35" s="14" t="s">
        <v>20</v>
      </c>
      <c r="J35" s="14" t="s">
        <v>17</v>
      </c>
      <c r="K35" s="15" t="n">
        <v>10883.53</v>
      </c>
      <c r="L35" s="16" t="n">
        <v>34404958.18</v>
      </c>
      <c r="M35" s="0" t="n">
        <v>120805</v>
      </c>
      <c r="N35" s="14" t="s">
        <v>79</v>
      </c>
      <c r="O35" s="14" t="s">
        <v>74</v>
      </c>
      <c r="P35" s="14" t="s">
        <v>74</v>
      </c>
    </row>
    <row r="36" customFormat="false" ht="15" hidden="false" customHeight="false" outlineLevel="0" collapsed="false">
      <c r="A36" s="0" t="n">
        <v>65606940</v>
      </c>
      <c r="B36" s="0" t="n">
        <v>1</v>
      </c>
      <c r="C36" s="13" t="n">
        <v>45727</v>
      </c>
      <c r="D36" s="0" t="n">
        <v>2025</v>
      </c>
      <c r="E36" s="14" t="s">
        <v>22</v>
      </c>
      <c r="F36" s="14" t="s">
        <v>71</v>
      </c>
      <c r="G36" s="14" t="s">
        <v>72</v>
      </c>
      <c r="H36" s="14" t="s">
        <v>26</v>
      </c>
      <c r="I36" s="14" t="s">
        <v>20</v>
      </c>
      <c r="J36" s="14" t="s">
        <v>17</v>
      </c>
      <c r="K36" s="15" t="n">
        <v>10917.245</v>
      </c>
      <c r="L36" s="16" t="n">
        <v>24264691.56</v>
      </c>
      <c r="M36" s="0" t="n">
        <v>50612</v>
      </c>
      <c r="N36" s="14" t="s">
        <v>98</v>
      </c>
      <c r="O36" s="14" t="s">
        <v>74</v>
      </c>
      <c r="P36" s="14" t="s">
        <v>74</v>
      </c>
    </row>
    <row r="37" customFormat="false" ht="15" hidden="false" customHeight="false" outlineLevel="0" collapsed="false">
      <c r="A37" s="0" t="n">
        <v>66268682</v>
      </c>
      <c r="B37" s="0" t="n">
        <v>1</v>
      </c>
      <c r="C37" s="13" t="n">
        <v>45737</v>
      </c>
      <c r="D37" s="0" t="n">
        <v>2025</v>
      </c>
      <c r="E37" s="14" t="s">
        <v>22</v>
      </c>
      <c r="F37" s="14" t="s">
        <v>71</v>
      </c>
      <c r="G37" s="14" t="s">
        <v>72</v>
      </c>
      <c r="H37" s="14" t="s">
        <v>42</v>
      </c>
      <c r="I37" s="14" t="s">
        <v>16</v>
      </c>
      <c r="J37" s="14" t="s">
        <v>27</v>
      </c>
      <c r="K37" s="15" t="n">
        <v>212.569</v>
      </c>
      <c r="L37" s="16" t="n">
        <v>196768.2</v>
      </c>
      <c r="M37" s="0" t="n">
        <v>60202</v>
      </c>
      <c r="N37" s="14" t="s">
        <v>99</v>
      </c>
      <c r="O37" s="14" t="s">
        <v>74</v>
      </c>
      <c r="P37" s="14" t="s">
        <v>74</v>
      </c>
    </row>
    <row r="38" customFormat="false" ht="15" hidden="false" customHeight="false" outlineLevel="0" collapsed="false">
      <c r="A38" s="0" t="n">
        <v>66582902</v>
      </c>
      <c r="B38" s="0" t="n">
        <v>1</v>
      </c>
      <c r="C38" s="13" t="n">
        <v>45742</v>
      </c>
      <c r="D38" s="0" t="n">
        <v>2025</v>
      </c>
      <c r="E38" s="14" t="s">
        <v>22</v>
      </c>
      <c r="F38" s="14" t="s">
        <v>71</v>
      </c>
      <c r="G38" s="14" t="s">
        <v>72</v>
      </c>
      <c r="H38" s="14" t="s">
        <v>42</v>
      </c>
      <c r="I38" s="14" t="s">
        <v>16</v>
      </c>
      <c r="J38" s="14" t="s">
        <v>27</v>
      </c>
      <c r="K38" s="15" t="n">
        <v>210.674</v>
      </c>
      <c r="L38" s="16" t="n">
        <v>206906.1</v>
      </c>
      <c r="M38" s="0" t="n">
        <v>60202</v>
      </c>
      <c r="N38" s="14" t="s">
        <v>99</v>
      </c>
      <c r="O38" s="14" t="s">
        <v>74</v>
      </c>
      <c r="P38" s="14" t="s">
        <v>74</v>
      </c>
    </row>
    <row r="39" customFormat="false" ht="15" hidden="false" customHeight="false" outlineLevel="0" collapsed="false">
      <c r="A39" s="0" t="n">
        <v>61989052</v>
      </c>
      <c r="B39" s="0" t="n">
        <v>2</v>
      </c>
      <c r="C39" s="13" t="n">
        <v>45672</v>
      </c>
      <c r="D39" s="0" t="n">
        <v>2025</v>
      </c>
      <c r="E39" s="14" t="s">
        <v>14</v>
      </c>
      <c r="F39" s="14" t="s">
        <v>71</v>
      </c>
      <c r="G39" s="14" t="s">
        <v>72</v>
      </c>
      <c r="H39" s="14" t="s">
        <v>30</v>
      </c>
      <c r="I39" s="14" t="s">
        <v>20</v>
      </c>
      <c r="J39" s="14" t="s">
        <v>34</v>
      </c>
      <c r="K39" s="15" t="n">
        <v>306.944</v>
      </c>
      <c r="L39" s="16" t="n">
        <v>406059.29</v>
      </c>
      <c r="M39" s="0" t="n">
        <v>150202</v>
      </c>
      <c r="N39" s="14" t="s">
        <v>77</v>
      </c>
      <c r="O39" s="14" t="s">
        <v>74</v>
      </c>
      <c r="P39" s="14" t="s">
        <v>74</v>
      </c>
    </row>
    <row r="40" customFormat="false" ht="15" hidden="false" customHeight="false" outlineLevel="0" collapsed="false">
      <c r="A40" s="0" t="n">
        <v>67582467</v>
      </c>
      <c r="B40" s="0" t="n">
        <v>1</v>
      </c>
      <c r="C40" s="13" t="n">
        <v>45757</v>
      </c>
      <c r="D40" s="0" t="n">
        <v>2025</v>
      </c>
      <c r="E40" s="14" t="s">
        <v>25</v>
      </c>
      <c r="F40" s="14" t="s">
        <v>71</v>
      </c>
      <c r="G40" s="14" t="s">
        <v>72</v>
      </c>
      <c r="H40" s="14" t="s">
        <v>33</v>
      </c>
      <c r="I40" s="14" t="s">
        <v>16</v>
      </c>
      <c r="J40" s="14" t="s">
        <v>31</v>
      </c>
      <c r="K40" s="15" t="n">
        <v>1095.937</v>
      </c>
      <c r="L40" s="16" t="n">
        <v>365415.48</v>
      </c>
      <c r="M40" s="0" t="n">
        <v>40606</v>
      </c>
      <c r="N40" s="14" t="s">
        <v>100</v>
      </c>
      <c r="O40" s="14" t="s">
        <v>74</v>
      </c>
      <c r="P40" s="14" t="s">
        <v>74</v>
      </c>
    </row>
    <row r="41" customFormat="false" ht="15" hidden="false" customHeight="false" outlineLevel="0" collapsed="false">
      <c r="A41" s="0" t="n">
        <v>67693635</v>
      </c>
      <c r="B41" s="0" t="n">
        <v>1</v>
      </c>
      <c r="C41" s="13" t="n">
        <v>45758</v>
      </c>
      <c r="D41" s="0" t="n">
        <v>2025</v>
      </c>
      <c r="E41" s="14" t="s">
        <v>25</v>
      </c>
      <c r="F41" s="14" t="s">
        <v>71</v>
      </c>
      <c r="G41" s="14" t="s">
        <v>72</v>
      </c>
      <c r="H41" s="14" t="s">
        <v>30</v>
      </c>
      <c r="I41" s="14" t="s">
        <v>20</v>
      </c>
      <c r="J41" s="14" t="s">
        <v>27</v>
      </c>
      <c r="K41" s="15" t="n">
        <v>1848</v>
      </c>
      <c r="L41" s="16" t="n">
        <v>590</v>
      </c>
      <c r="M41" s="0" t="n">
        <v>150202</v>
      </c>
      <c r="N41" s="14" t="s">
        <v>101</v>
      </c>
      <c r="O41" s="14" t="s">
        <v>74</v>
      </c>
      <c r="P41" s="14" t="s">
        <v>74</v>
      </c>
    </row>
    <row r="42" customFormat="false" ht="15" hidden="false" customHeight="false" outlineLevel="0" collapsed="false">
      <c r="A42" s="0" t="n">
        <v>67991979</v>
      </c>
      <c r="B42" s="0" t="n">
        <v>1</v>
      </c>
      <c r="C42" s="13" t="n">
        <v>45763</v>
      </c>
      <c r="D42" s="0" t="n">
        <v>2025</v>
      </c>
      <c r="E42" s="14" t="s">
        <v>25</v>
      </c>
      <c r="F42" s="14" t="s">
        <v>71</v>
      </c>
      <c r="G42" s="14" t="s">
        <v>72</v>
      </c>
      <c r="H42" s="14" t="s">
        <v>26</v>
      </c>
      <c r="I42" s="14" t="s">
        <v>20</v>
      </c>
      <c r="J42" s="14" t="s">
        <v>17</v>
      </c>
      <c r="K42" s="15" t="n">
        <v>10985.158</v>
      </c>
      <c r="L42" s="16" t="n">
        <v>35916038.59</v>
      </c>
      <c r="M42" s="0" t="n">
        <v>50612</v>
      </c>
      <c r="N42" s="14" t="s">
        <v>102</v>
      </c>
      <c r="O42" s="14" t="s">
        <v>74</v>
      </c>
      <c r="P42" s="14" t="s">
        <v>74</v>
      </c>
    </row>
    <row r="43" customFormat="false" ht="15" hidden="false" customHeight="false" outlineLevel="0" collapsed="false">
      <c r="A43" s="0" t="n">
        <v>68175271</v>
      </c>
      <c r="B43" s="0" t="n">
        <v>1</v>
      </c>
      <c r="C43" s="13" t="n">
        <v>45766</v>
      </c>
      <c r="D43" s="0" t="n">
        <v>2025</v>
      </c>
      <c r="E43" s="14" t="s">
        <v>25</v>
      </c>
      <c r="F43" s="14" t="s">
        <v>103</v>
      </c>
      <c r="G43" s="14" t="s">
        <v>104</v>
      </c>
      <c r="H43" s="14" t="s">
        <v>85</v>
      </c>
      <c r="I43" s="14" t="s">
        <v>20</v>
      </c>
      <c r="J43" s="14" t="s">
        <v>40</v>
      </c>
      <c r="K43" s="15" t="n">
        <v>19.15</v>
      </c>
      <c r="L43" s="16" t="n">
        <v>32866.87</v>
      </c>
      <c r="M43" s="0" t="n">
        <v>80801</v>
      </c>
      <c r="N43" s="14" t="s">
        <v>105</v>
      </c>
      <c r="O43" s="14" t="s">
        <v>74</v>
      </c>
      <c r="P43" s="14" t="s">
        <v>74</v>
      </c>
    </row>
    <row r="44" customFormat="false" ht="15" hidden="false" customHeight="false" outlineLevel="0" collapsed="false">
      <c r="A44" s="0" t="n">
        <v>68480960</v>
      </c>
      <c r="B44" s="0" t="n">
        <v>1</v>
      </c>
      <c r="C44" s="13" t="n">
        <v>45770</v>
      </c>
      <c r="D44" s="0" t="n">
        <v>2025</v>
      </c>
      <c r="E44" s="14" t="s">
        <v>25</v>
      </c>
      <c r="F44" s="14" t="s">
        <v>106</v>
      </c>
      <c r="G44" s="14" t="s">
        <v>107</v>
      </c>
      <c r="H44" s="14" t="s">
        <v>30</v>
      </c>
      <c r="I44" s="14" t="s">
        <v>20</v>
      </c>
      <c r="J44" s="14" t="s">
        <v>27</v>
      </c>
      <c r="K44" s="15" t="n">
        <v>883.824</v>
      </c>
      <c r="L44" s="16" t="n">
        <v>422715.34</v>
      </c>
      <c r="M44" s="0" t="n">
        <v>150202</v>
      </c>
      <c r="N44" s="14" t="s">
        <v>108</v>
      </c>
      <c r="O44" s="14" t="s">
        <v>74</v>
      </c>
      <c r="P44" s="14" t="s">
        <v>74</v>
      </c>
    </row>
    <row r="45" customFormat="false" ht="28.35" hidden="false" customHeight="false" outlineLevel="0" collapsed="false">
      <c r="A45" s="0" t="n">
        <v>69453624</v>
      </c>
      <c r="B45" s="0" t="n">
        <v>1</v>
      </c>
      <c r="C45" s="13" t="n">
        <v>45784</v>
      </c>
      <c r="D45" s="0" t="n">
        <v>2025</v>
      </c>
      <c r="E45" s="14" t="s">
        <v>29</v>
      </c>
      <c r="F45" s="14" t="s">
        <v>71</v>
      </c>
      <c r="G45" s="14" t="s">
        <v>72</v>
      </c>
      <c r="H45" s="14" t="s">
        <v>19</v>
      </c>
      <c r="I45" s="14" t="s">
        <v>20</v>
      </c>
      <c r="J45" s="14" t="s">
        <v>27</v>
      </c>
      <c r="K45" s="15" t="n">
        <v>1169.869</v>
      </c>
      <c r="L45" s="16" t="n">
        <v>4065514.99</v>
      </c>
      <c r="M45" s="0" t="n">
        <v>120434</v>
      </c>
      <c r="N45" s="17" t="s">
        <v>109</v>
      </c>
      <c r="O45" s="14" t="s">
        <v>74</v>
      </c>
      <c r="P45" s="14" t="s">
        <v>74</v>
      </c>
    </row>
    <row r="46" customFormat="false" ht="15" hidden="false" customHeight="false" outlineLevel="0" collapsed="false">
      <c r="A46" s="0" t="n">
        <v>69421303</v>
      </c>
      <c r="B46" s="0" t="n">
        <v>1</v>
      </c>
      <c r="C46" s="13" t="n">
        <v>45783</v>
      </c>
      <c r="D46" s="0" t="n">
        <v>2025</v>
      </c>
      <c r="E46" s="14" t="s">
        <v>29</v>
      </c>
      <c r="F46" s="14" t="s">
        <v>71</v>
      </c>
      <c r="G46" s="14" t="s">
        <v>72</v>
      </c>
      <c r="H46" s="14" t="s">
        <v>23</v>
      </c>
      <c r="I46" s="14" t="s">
        <v>20</v>
      </c>
      <c r="J46" s="14" t="s">
        <v>31</v>
      </c>
      <c r="K46" s="15" t="n">
        <v>238.821</v>
      </c>
      <c r="L46" s="16" t="n">
        <v>1094043.78</v>
      </c>
      <c r="M46" s="0" t="n">
        <v>110301</v>
      </c>
      <c r="N46" s="14" t="s">
        <v>110</v>
      </c>
      <c r="O46" s="14" t="s">
        <v>74</v>
      </c>
      <c r="P46" s="14" t="s">
        <v>74</v>
      </c>
    </row>
    <row r="47" customFormat="false" ht="15" hidden="false" customHeight="false" outlineLevel="0" collapsed="false">
      <c r="A47" s="0" t="n">
        <v>71927904</v>
      </c>
      <c r="B47" s="0" t="n">
        <v>1</v>
      </c>
      <c r="C47" s="13" t="n">
        <v>45814</v>
      </c>
      <c r="D47" s="0" t="n">
        <v>2025</v>
      </c>
      <c r="E47" s="14" t="s">
        <v>32</v>
      </c>
      <c r="F47" s="14" t="s">
        <v>71</v>
      </c>
      <c r="G47" s="14" t="s">
        <v>72</v>
      </c>
      <c r="H47" s="14" t="s">
        <v>33</v>
      </c>
      <c r="I47" s="14" t="s">
        <v>16</v>
      </c>
      <c r="J47" s="14" t="s">
        <v>27</v>
      </c>
      <c r="K47" s="15" t="n">
        <v>939.616</v>
      </c>
      <c r="L47" s="16" t="n">
        <v>260949.25</v>
      </c>
      <c r="M47" s="0" t="n">
        <v>40101</v>
      </c>
      <c r="N47" s="14" t="s">
        <v>111</v>
      </c>
      <c r="O47" s="14" t="s">
        <v>74</v>
      </c>
      <c r="P47" s="14" t="s">
        <v>74</v>
      </c>
    </row>
    <row r="48" customFormat="false" ht="28.35" hidden="false" customHeight="false" outlineLevel="0" collapsed="false">
      <c r="A48" s="0" t="n">
        <v>72530680</v>
      </c>
      <c r="B48" s="0" t="n">
        <v>1</v>
      </c>
      <c r="C48" s="13" t="n">
        <v>45820</v>
      </c>
      <c r="D48" s="0" t="n">
        <v>2025</v>
      </c>
      <c r="E48" s="14" t="s">
        <v>32</v>
      </c>
      <c r="F48" s="14" t="s">
        <v>71</v>
      </c>
      <c r="G48" s="14" t="s">
        <v>72</v>
      </c>
      <c r="H48" s="14" t="s">
        <v>33</v>
      </c>
      <c r="I48" s="14" t="s">
        <v>20</v>
      </c>
      <c r="J48" s="14" t="s">
        <v>27</v>
      </c>
      <c r="K48" s="15" t="n">
        <v>49.383</v>
      </c>
      <c r="L48" s="16" t="n">
        <v>703771.71</v>
      </c>
      <c r="M48" s="0" t="n">
        <v>40303</v>
      </c>
      <c r="N48" s="17" t="s">
        <v>112</v>
      </c>
      <c r="O48" s="14" t="s">
        <v>74</v>
      </c>
      <c r="P48" s="14" t="s">
        <v>74</v>
      </c>
    </row>
    <row r="49" customFormat="false" ht="15" hidden="false" customHeight="false" outlineLevel="0" collapsed="false">
      <c r="A49" s="0" t="n">
        <v>72576282</v>
      </c>
      <c r="B49" s="0" t="n">
        <v>1</v>
      </c>
      <c r="C49" s="13" t="n">
        <v>45821</v>
      </c>
      <c r="D49" s="0" t="n">
        <v>2025</v>
      </c>
      <c r="E49" s="14" t="s">
        <v>32</v>
      </c>
      <c r="F49" s="14" t="s">
        <v>71</v>
      </c>
      <c r="G49" s="14" t="s">
        <v>72</v>
      </c>
      <c r="H49" s="14" t="s">
        <v>30</v>
      </c>
      <c r="I49" s="14" t="s">
        <v>20</v>
      </c>
      <c r="J49" s="14" t="s">
        <v>27</v>
      </c>
      <c r="K49" s="15" t="n">
        <v>907.197</v>
      </c>
      <c r="L49" s="16" t="n">
        <v>507476.93</v>
      </c>
      <c r="M49" s="0" t="n">
        <v>150202</v>
      </c>
      <c r="N49" s="14" t="s">
        <v>113</v>
      </c>
      <c r="O49" s="14" t="s">
        <v>74</v>
      </c>
      <c r="P49" s="14" t="s">
        <v>74</v>
      </c>
    </row>
    <row r="50" customFormat="false" ht="15" hidden="false" customHeight="false" outlineLevel="0" collapsed="false">
      <c r="A50" s="0" t="n">
        <v>73607190</v>
      </c>
      <c r="B50" s="0" t="n">
        <v>1</v>
      </c>
      <c r="C50" s="13" t="n">
        <v>45832</v>
      </c>
      <c r="D50" s="0" t="n">
        <v>2025</v>
      </c>
      <c r="E50" s="14" t="s">
        <v>32</v>
      </c>
      <c r="F50" s="14" t="s">
        <v>71</v>
      </c>
      <c r="G50" s="14" t="s">
        <v>72</v>
      </c>
      <c r="H50" s="14" t="s">
        <v>36</v>
      </c>
      <c r="I50" s="14" t="s">
        <v>20</v>
      </c>
      <c r="J50" s="14" t="s">
        <v>27</v>
      </c>
      <c r="K50" s="15" t="n">
        <v>649.362</v>
      </c>
      <c r="L50" s="16" t="n">
        <v>2716488.76</v>
      </c>
      <c r="M50" s="0" t="n">
        <v>20106</v>
      </c>
      <c r="N50" s="14" t="s">
        <v>114</v>
      </c>
      <c r="O50" s="14" t="s">
        <v>74</v>
      </c>
      <c r="P50" s="14" t="s">
        <v>74</v>
      </c>
    </row>
    <row r="51" customFormat="false" ht="15" hidden="false" customHeight="false" outlineLevel="0" collapsed="false">
      <c r="A51" s="0" t="n">
        <v>73967302</v>
      </c>
      <c r="B51" s="0" t="n">
        <v>1</v>
      </c>
      <c r="C51" s="13" t="n">
        <v>45835</v>
      </c>
      <c r="D51" s="0" t="n">
        <v>2025</v>
      </c>
      <c r="E51" s="14" t="s">
        <v>32</v>
      </c>
      <c r="F51" s="14" t="s">
        <v>71</v>
      </c>
      <c r="G51" s="14" t="s">
        <v>72</v>
      </c>
      <c r="H51" s="14" t="s">
        <v>19</v>
      </c>
      <c r="I51" s="14" t="s">
        <v>20</v>
      </c>
      <c r="J51" s="14" t="s">
        <v>17</v>
      </c>
      <c r="K51" s="15" t="n">
        <v>10333.75</v>
      </c>
      <c r="L51" s="16" t="n">
        <v>30997135.77</v>
      </c>
      <c r="M51" s="0" t="n">
        <v>120805</v>
      </c>
      <c r="N51" s="14" t="s">
        <v>115</v>
      </c>
      <c r="O51" s="14" t="s">
        <v>74</v>
      </c>
      <c r="P51" s="14" t="s">
        <v>74</v>
      </c>
    </row>
    <row r="52" customFormat="false" ht="15" hidden="false" customHeight="false" outlineLevel="0" collapsed="false">
      <c r="A52" s="0" t="n">
        <v>75148670</v>
      </c>
      <c r="B52" s="0" t="n">
        <v>1</v>
      </c>
      <c r="C52" s="13" t="n">
        <v>45848</v>
      </c>
      <c r="D52" s="0" t="n">
        <v>2025</v>
      </c>
      <c r="E52" s="14" t="s">
        <v>35</v>
      </c>
      <c r="F52" s="14" t="s">
        <v>106</v>
      </c>
      <c r="G52" s="14" t="s">
        <v>107</v>
      </c>
      <c r="H52" s="14" t="s">
        <v>30</v>
      </c>
      <c r="I52" s="14" t="s">
        <v>16</v>
      </c>
      <c r="J52" s="14" t="s">
        <v>27</v>
      </c>
      <c r="K52" s="15" t="n">
        <v>859.512</v>
      </c>
      <c r="L52" s="16" t="n">
        <v>417078.2</v>
      </c>
      <c r="M52" s="0" t="n">
        <v>150202</v>
      </c>
      <c r="N52" s="14" t="s">
        <v>116</v>
      </c>
      <c r="O52" s="14" t="s">
        <v>74</v>
      </c>
      <c r="P52" s="14" t="s">
        <v>74</v>
      </c>
    </row>
    <row r="53" customFormat="false" ht="15" hidden="false" customHeight="false" outlineLevel="0" collapsed="false">
      <c r="A53" s="0" t="n">
        <v>75762273</v>
      </c>
      <c r="B53" s="0" t="n">
        <v>1</v>
      </c>
      <c r="C53" s="13" t="n">
        <v>45854</v>
      </c>
      <c r="D53" s="0" t="n">
        <v>2025</v>
      </c>
      <c r="E53" s="14" t="s">
        <v>35</v>
      </c>
      <c r="F53" s="14" t="s">
        <v>71</v>
      </c>
      <c r="G53" s="14" t="s">
        <v>72</v>
      </c>
      <c r="H53" s="14" t="s">
        <v>30</v>
      </c>
      <c r="I53" s="14" t="s">
        <v>20</v>
      </c>
      <c r="J53" s="14" t="s">
        <v>27</v>
      </c>
      <c r="K53" s="15" t="n">
        <v>883.792</v>
      </c>
      <c r="L53" s="16" t="n">
        <v>443548.69</v>
      </c>
      <c r="M53" s="0" t="n">
        <v>150202</v>
      </c>
      <c r="N53" s="14" t="s">
        <v>117</v>
      </c>
      <c r="O53" s="14" t="s">
        <v>74</v>
      </c>
      <c r="P53" s="14" t="s">
        <v>74</v>
      </c>
    </row>
    <row r="54" customFormat="false" ht="28.35" hidden="false" customHeight="false" outlineLevel="0" collapsed="false">
      <c r="A54" s="0" t="n">
        <v>76374364</v>
      </c>
      <c r="B54" s="0" t="n">
        <v>1</v>
      </c>
      <c r="C54" s="13" t="n">
        <v>45860</v>
      </c>
      <c r="D54" s="0" t="n">
        <v>2025</v>
      </c>
      <c r="E54" s="14" t="s">
        <v>35</v>
      </c>
      <c r="F54" s="14" t="s">
        <v>71</v>
      </c>
      <c r="G54" s="14" t="s">
        <v>72</v>
      </c>
      <c r="H54" s="14" t="s">
        <v>33</v>
      </c>
      <c r="I54" s="14" t="s">
        <v>20</v>
      </c>
      <c r="J54" s="14" t="s">
        <v>27</v>
      </c>
      <c r="K54" s="15" t="n">
        <v>1659.727</v>
      </c>
      <c r="L54" s="16" t="n">
        <v>6095290.44</v>
      </c>
      <c r="M54" s="0" t="n">
        <v>40303</v>
      </c>
      <c r="N54" s="17" t="s">
        <v>118</v>
      </c>
      <c r="O54" s="14" t="s">
        <v>74</v>
      </c>
      <c r="P54" s="14" t="s">
        <v>74</v>
      </c>
    </row>
    <row r="55" customFormat="false" ht="15" hidden="false" customHeight="false" outlineLevel="0" collapsed="false">
      <c r="A55" s="0" t="n">
        <v>77701406</v>
      </c>
      <c r="B55" s="0" t="n">
        <v>1</v>
      </c>
      <c r="C55" s="13" t="n">
        <v>45873</v>
      </c>
      <c r="D55" s="0" t="n">
        <v>2025</v>
      </c>
      <c r="E55" s="14" t="s">
        <v>38</v>
      </c>
      <c r="F55" s="14" t="s">
        <v>71</v>
      </c>
      <c r="G55" s="14" t="s">
        <v>72</v>
      </c>
      <c r="H55" s="14" t="s">
        <v>30</v>
      </c>
      <c r="I55" s="14" t="s">
        <v>16</v>
      </c>
      <c r="J55" s="14" t="s">
        <v>27</v>
      </c>
      <c r="K55" s="15" t="n">
        <v>905.593</v>
      </c>
      <c r="L55" s="16" t="n">
        <v>465728.37</v>
      </c>
      <c r="M55" s="0" t="n">
        <v>150202</v>
      </c>
      <c r="N55" s="14" t="s">
        <v>116</v>
      </c>
      <c r="O55" s="14" t="s">
        <v>74</v>
      </c>
      <c r="P55" s="14" t="s">
        <v>74</v>
      </c>
    </row>
    <row r="56" customFormat="false" ht="28.35" hidden="false" customHeight="false" outlineLevel="0" collapsed="false">
      <c r="A56" s="0" t="n">
        <v>77828979</v>
      </c>
      <c r="B56" s="0" t="n">
        <v>1</v>
      </c>
      <c r="C56" s="13" t="n">
        <v>45874</v>
      </c>
      <c r="D56" s="0" t="n">
        <v>2025</v>
      </c>
      <c r="E56" s="14" t="s">
        <v>38</v>
      </c>
      <c r="F56" s="14" t="s">
        <v>71</v>
      </c>
      <c r="G56" s="14" t="s">
        <v>72</v>
      </c>
      <c r="H56" s="14" t="s">
        <v>23</v>
      </c>
      <c r="I56" s="14" t="s">
        <v>20</v>
      </c>
      <c r="J56" s="14" t="s">
        <v>27</v>
      </c>
      <c r="K56" s="15" t="n">
        <v>228.556</v>
      </c>
      <c r="L56" s="16" t="n">
        <v>1116558.55</v>
      </c>
      <c r="M56" s="0" t="n">
        <v>110203</v>
      </c>
      <c r="N56" s="17" t="s">
        <v>119</v>
      </c>
      <c r="O56" s="14" t="s">
        <v>74</v>
      </c>
      <c r="P56" s="14" t="s">
        <v>74</v>
      </c>
    </row>
    <row r="57" customFormat="false" ht="28.35" hidden="false" customHeight="false" outlineLevel="0" collapsed="false">
      <c r="A57" s="0" t="n">
        <v>78492649</v>
      </c>
      <c r="B57" s="0" t="n">
        <v>1</v>
      </c>
      <c r="C57" s="13" t="n">
        <v>45880</v>
      </c>
      <c r="D57" s="0" t="n">
        <v>2025</v>
      </c>
      <c r="E57" s="14" t="s">
        <v>38</v>
      </c>
      <c r="F57" s="14" t="s">
        <v>71</v>
      </c>
      <c r="G57" s="14" t="s">
        <v>72</v>
      </c>
      <c r="H57" s="14" t="s">
        <v>42</v>
      </c>
      <c r="I57" s="14" t="s">
        <v>20</v>
      </c>
      <c r="J57" s="14" t="s">
        <v>27</v>
      </c>
      <c r="K57" s="15" t="n">
        <v>602.608</v>
      </c>
      <c r="L57" s="16" t="n">
        <v>3794570.91</v>
      </c>
      <c r="M57" s="0" t="n">
        <v>60202</v>
      </c>
      <c r="N57" s="17" t="s">
        <v>120</v>
      </c>
      <c r="O57" s="14" t="s">
        <v>74</v>
      </c>
      <c r="P57" s="14" t="s">
        <v>74</v>
      </c>
    </row>
    <row r="58" customFormat="false" ht="28.35" hidden="false" customHeight="false" outlineLevel="0" collapsed="false">
      <c r="A58" s="0" t="n">
        <v>78700019</v>
      </c>
      <c r="B58" s="0" t="n">
        <v>1</v>
      </c>
      <c r="C58" s="13" t="n">
        <v>45882</v>
      </c>
      <c r="D58" s="0" t="n">
        <v>2025</v>
      </c>
      <c r="E58" s="14" t="s">
        <v>38</v>
      </c>
      <c r="F58" s="14" t="s">
        <v>71</v>
      </c>
      <c r="G58" s="14" t="s">
        <v>72</v>
      </c>
      <c r="H58" s="14" t="s">
        <v>42</v>
      </c>
      <c r="I58" s="14" t="s">
        <v>20</v>
      </c>
      <c r="J58" s="14" t="s">
        <v>27</v>
      </c>
      <c r="K58" s="15" t="n">
        <v>261.304</v>
      </c>
      <c r="L58" s="16" t="n">
        <v>1608251.23</v>
      </c>
      <c r="M58" s="0" t="n">
        <v>60202</v>
      </c>
      <c r="N58" s="17" t="s">
        <v>121</v>
      </c>
      <c r="O58" s="14" t="s">
        <v>74</v>
      </c>
      <c r="P58" s="14" t="s">
        <v>74</v>
      </c>
    </row>
    <row r="59" customFormat="false" ht="15" hidden="false" customHeight="false" outlineLevel="0" collapsed="false">
      <c r="A59" s="0" t="n">
        <v>79705534</v>
      </c>
      <c r="B59" s="0" t="n">
        <v>1</v>
      </c>
      <c r="C59" s="13" t="n">
        <v>45891</v>
      </c>
      <c r="D59" s="0" t="n">
        <v>2025</v>
      </c>
      <c r="E59" s="14" t="s">
        <v>38</v>
      </c>
      <c r="F59" s="14" t="s">
        <v>106</v>
      </c>
      <c r="G59" s="14" t="s">
        <v>107</v>
      </c>
      <c r="H59" s="14" t="s">
        <v>30</v>
      </c>
      <c r="I59" s="14" t="s">
        <v>20</v>
      </c>
      <c r="J59" s="14" t="s">
        <v>27</v>
      </c>
      <c r="K59" s="15" t="n">
        <v>885</v>
      </c>
      <c r="L59" s="16" t="n">
        <v>450000</v>
      </c>
      <c r="M59" s="0" t="n">
        <v>150202</v>
      </c>
      <c r="N59" s="14" t="s">
        <v>122</v>
      </c>
      <c r="O59" s="14" t="s">
        <v>74</v>
      </c>
      <c r="P59" s="14" t="s">
        <v>74</v>
      </c>
    </row>
    <row r="60" customFormat="false" ht="28.35" hidden="false" customHeight="false" outlineLevel="0" collapsed="false">
      <c r="A60" s="0" t="n">
        <v>79887629</v>
      </c>
      <c r="B60" s="0" t="n">
        <v>1</v>
      </c>
      <c r="C60" s="13" t="n">
        <v>45894</v>
      </c>
      <c r="D60" s="0" t="n">
        <v>2025</v>
      </c>
      <c r="E60" s="14" t="s">
        <v>38</v>
      </c>
      <c r="F60" s="14" t="s">
        <v>71</v>
      </c>
      <c r="G60" s="14" t="s">
        <v>72</v>
      </c>
      <c r="H60" s="14" t="s">
        <v>23</v>
      </c>
      <c r="I60" s="14" t="s">
        <v>20</v>
      </c>
      <c r="J60" s="14" t="s">
        <v>27</v>
      </c>
      <c r="K60" s="15" t="n">
        <v>1356.778</v>
      </c>
      <c r="L60" s="16" t="n">
        <v>4106001.23</v>
      </c>
      <c r="M60" s="0" t="n">
        <v>110304</v>
      </c>
      <c r="N60" s="17" t="s">
        <v>123</v>
      </c>
      <c r="O60" s="14" t="s">
        <v>74</v>
      </c>
      <c r="P60" s="14" t="s">
        <v>74</v>
      </c>
    </row>
    <row r="61" customFormat="false" ht="15" hidden="false" customHeight="false" outlineLevel="0" collapsed="false">
      <c r="A61" s="0" t="n">
        <v>80212232</v>
      </c>
      <c r="B61" s="0" t="n">
        <v>1</v>
      </c>
      <c r="C61" s="13" t="n">
        <v>45897</v>
      </c>
      <c r="D61" s="0" t="n">
        <v>2025</v>
      </c>
      <c r="E61" s="14" t="s">
        <v>38</v>
      </c>
      <c r="F61" s="14" t="s">
        <v>71</v>
      </c>
      <c r="G61" s="14" t="s">
        <v>72</v>
      </c>
      <c r="H61" s="14" t="s">
        <v>36</v>
      </c>
      <c r="I61" s="14" t="s">
        <v>20</v>
      </c>
      <c r="J61" s="14" t="s">
        <v>27</v>
      </c>
      <c r="K61" s="15" t="n">
        <v>521.205</v>
      </c>
      <c r="L61" s="16" t="n">
        <v>1356300.26</v>
      </c>
      <c r="M61" s="0" t="n">
        <v>20106</v>
      </c>
      <c r="N61" s="14" t="s">
        <v>124</v>
      </c>
      <c r="O61" s="14" t="s">
        <v>74</v>
      </c>
      <c r="P61" s="14" t="s">
        <v>74</v>
      </c>
    </row>
    <row r="62" customFormat="false" ht="15" hidden="false" customHeight="false" outlineLevel="0" collapsed="false">
      <c r="A62" s="0" t="n">
        <v>80809586</v>
      </c>
      <c r="B62" s="0" t="n">
        <v>1</v>
      </c>
      <c r="C62" s="13" t="n">
        <v>45903</v>
      </c>
      <c r="D62" s="0" t="n">
        <v>2025</v>
      </c>
      <c r="E62" s="14" t="s">
        <v>41</v>
      </c>
      <c r="F62" s="14" t="s">
        <v>71</v>
      </c>
      <c r="G62" s="14" t="s">
        <v>72</v>
      </c>
      <c r="H62" s="14" t="s">
        <v>33</v>
      </c>
      <c r="I62" s="14" t="s">
        <v>20</v>
      </c>
      <c r="J62" s="14" t="s">
        <v>27</v>
      </c>
      <c r="K62" s="15" t="n">
        <v>41.978</v>
      </c>
      <c r="L62" s="16" t="n">
        <v>652577.43</v>
      </c>
      <c r="M62" s="0" t="n">
        <v>40303</v>
      </c>
      <c r="N62" s="14" t="s">
        <v>125</v>
      </c>
      <c r="O62" s="14" t="s">
        <v>74</v>
      </c>
      <c r="P62" s="14" t="s">
        <v>74</v>
      </c>
    </row>
    <row r="63" customFormat="false" ht="28.35" hidden="false" customHeight="false" outlineLevel="0" collapsed="false">
      <c r="A63" s="0" t="n">
        <v>81379688</v>
      </c>
      <c r="B63" s="0" t="n">
        <v>1</v>
      </c>
      <c r="C63" s="13" t="n">
        <v>45908</v>
      </c>
      <c r="D63" s="0" t="n">
        <v>2025</v>
      </c>
      <c r="E63" s="14" t="s">
        <v>41</v>
      </c>
      <c r="F63" s="14" t="s">
        <v>71</v>
      </c>
      <c r="G63" s="14" t="s">
        <v>72</v>
      </c>
      <c r="H63" s="14" t="s">
        <v>33</v>
      </c>
      <c r="I63" s="14" t="s">
        <v>20</v>
      </c>
      <c r="J63" s="14" t="s">
        <v>27</v>
      </c>
      <c r="K63" s="15" t="n">
        <v>156.634</v>
      </c>
      <c r="L63" s="16" t="n">
        <v>561267.22</v>
      </c>
      <c r="M63" s="0" t="n">
        <v>40303</v>
      </c>
      <c r="N63" s="17" t="s">
        <v>126</v>
      </c>
      <c r="O63" s="14" t="s">
        <v>74</v>
      </c>
      <c r="P63" s="14" t="s">
        <v>74</v>
      </c>
    </row>
    <row r="64" customFormat="false" ht="15" hidden="false" customHeight="false" outlineLevel="0" collapsed="false">
      <c r="A64" s="0" t="n">
        <v>82111252</v>
      </c>
      <c r="B64" s="0" t="n">
        <v>1</v>
      </c>
      <c r="C64" s="13" t="n">
        <v>45915</v>
      </c>
      <c r="D64" s="0" t="n">
        <v>2025</v>
      </c>
      <c r="E64" s="14" t="s">
        <v>41</v>
      </c>
      <c r="F64" s="14" t="s">
        <v>71</v>
      </c>
      <c r="G64" s="14" t="s">
        <v>72</v>
      </c>
      <c r="H64" s="14" t="s">
        <v>15</v>
      </c>
      <c r="I64" s="14" t="s">
        <v>20</v>
      </c>
      <c r="J64" s="14" t="s">
        <v>21</v>
      </c>
      <c r="K64" s="15" t="n">
        <v>10538.526</v>
      </c>
      <c r="L64" s="16" t="n">
        <v>38390796.37</v>
      </c>
      <c r="M64" s="0" t="n">
        <v>190104</v>
      </c>
      <c r="N64" s="14" t="s">
        <v>127</v>
      </c>
      <c r="O64" s="14" t="s">
        <v>74</v>
      </c>
      <c r="P64" s="14" t="s">
        <v>74</v>
      </c>
    </row>
    <row r="65" customFormat="false" ht="15" hidden="false" customHeight="false" outlineLevel="0" collapsed="false">
      <c r="A65" s="0" t="n">
        <v>82389669</v>
      </c>
      <c r="B65" s="0" t="n">
        <v>1</v>
      </c>
      <c r="C65" s="13" t="n">
        <v>45918</v>
      </c>
      <c r="D65" s="0" t="n">
        <v>2025</v>
      </c>
      <c r="E65" s="14" t="s">
        <v>41</v>
      </c>
      <c r="F65" s="14" t="s">
        <v>71</v>
      </c>
      <c r="G65" s="14" t="s">
        <v>72</v>
      </c>
      <c r="H65" s="14" t="s">
        <v>30</v>
      </c>
      <c r="I65" s="14" t="s">
        <v>20</v>
      </c>
      <c r="J65" s="14" t="s">
        <v>27</v>
      </c>
      <c r="K65" s="15" t="n">
        <v>394</v>
      </c>
      <c r="L65" s="16" t="n">
        <v>720000</v>
      </c>
      <c r="M65" s="0" t="n">
        <v>150202</v>
      </c>
      <c r="N65" s="14" t="s">
        <v>128</v>
      </c>
      <c r="O65" s="14" t="s">
        <v>74</v>
      </c>
      <c r="P65" s="14" t="s">
        <v>74</v>
      </c>
    </row>
    <row r="66" customFormat="false" ht="15" hidden="false" customHeight="false" outlineLevel="0" collapsed="false">
      <c r="A66" s="0" t="n">
        <v>82573051</v>
      </c>
      <c r="B66" s="0" t="n">
        <v>1</v>
      </c>
      <c r="C66" s="13" t="n">
        <v>45919</v>
      </c>
      <c r="D66" s="0" t="n">
        <v>2025</v>
      </c>
      <c r="E66" s="14" t="s">
        <v>41</v>
      </c>
      <c r="F66" s="14" t="s">
        <v>71</v>
      </c>
      <c r="G66" s="14" t="s">
        <v>72</v>
      </c>
      <c r="H66" s="14" t="s">
        <v>19</v>
      </c>
      <c r="I66" s="14" t="s">
        <v>20</v>
      </c>
      <c r="J66" s="14" t="s">
        <v>17</v>
      </c>
      <c r="K66" s="15" t="n">
        <v>10.956823</v>
      </c>
      <c r="L66" s="16" t="n">
        <v>39730347.31</v>
      </c>
      <c r="M66" s="0" t="n">
        <v>120805</v>
      </c>
      <c r="N66" s="14" t="s">
        <v>79</v>
      </c>
      <c r="O66" s="14" t="s">
        <v>74</v>
      </c>
      <c r="P66" s="14" t="s">
        <v>74</v>
      </c>
    </row>
    <row r="67" customFormat="false" ht="15" hidden="false" customHeight="false" outlineLevel="0" collapsed="false">
      <c r="A67" s="0" t="n">
        <v>85463109</v>
      </c>
      <c r="B67" s="0" t="n">
        <v>1</v>
      </c>
      <c r="C67" s="13" t="n">
        <v>45947</v>
      </c>
      <c r="D67" s="0" t="n">
        <v>2025</v>
      </c>
      <c r="E67" s="14" t="s">
        <v>43</v>
      </c>
      <c r="F67" s="14" t="s">
        <v>106</v>
      </c>
      <c r="G67" s="14" t="s">
        <v>107</v>
      </c>
      <c r="H67" s="14" t="s">
        <v>30</v>
      </c>
      <c r="I67" s="14" t="s">
        <v>20</v>
      </c>
      <c r="J67" s="14" t="s">
        <v>27</v>
      </c>
      <c r="K67" s="15" t="n">
        <v>869.114</v>
      </c>
      <c r="L67" s="16" t="n">
        <v>535382.92</v>
      </c>
      <c r="M67" s="0" t="n">
        <v>150202</v>
      </c>
      <c r="N67" s="14" t="s">
        <v>129</v>
      </c>
      <c r="O67" s="14" t="s">
        <v>74</v>
      </c>
      <c r="P67" s="14" t="s">
        <v>74</v>
      </c>
    </row>
    <row r="68" customFormat="false" ht="15" hidden="false" customHeight="false" outlineLevel="0" collapsed="false">
      <c r="A68" s="0" t="n">
        <v>62165605</v>
      </c>
      <c r="B68" s="0" t="n">
        <v>1</v>
      </c>
      <c r="C68" s="13" t="n">
        <v>45674</v>
      </c>
      <c r="D68" s="0" t="n">
        <v>2025</v>
      </c>
      <c r="E68" s="14" t="s">
        <v>14</v>
      </c>
      <c r="F68" s="14" t="s">
        <v>71</v>
      </c>
      <c r="G68" s="14" t="s">
        <v>72</v>
      </c>
      <c r="H68" s="14" t="s">
        <v>26</v>
      </c>
      <c r="I68" s="14" t="s">
        <v>20</v>
      </c>
      <c r="J68" s="14" t="s">
        <v>17</v>
      </c>
      <c r="K68" s="15" t="n">
        <v>10787.843</v>
      </c>
      <c r="L68" s="16" t="n">
        <v>33371690.32</v>
      </c>
      <c r="M68" s="0" t="n">
        <v>50612</v>
      </c>
      <c r="N68" s="14" t="s">
        <v>79</v>
      </c>
      <c r="O68" s="14" t="s">
        <v>74</v>
      </c>
      <c r="P68" s="14" t="s">
        <v>74</v>
      </c>
    </row>
    <row r="69" customFormat="false" ht="15" hidden="false" customHeight="false" outlineLevel="0" collapsed="false">
      <c r="A69" s="0" t="n">
        <v>62126720</v>
      </c>
      <c r="B69" s="0" t="n">
        <v>1</v>
      </c>
      <c r="C69" s="13" t="n">
        <v>45674</v>
      </c>
      <c r="D69" s="0" t="n">
        <v>2025</v>
      </c>
      <c r="E69" s="14" t="s">
        <v>14</v>
      </c>
      <c r="F69" s="14" t="s">
        <v>71</v>
      </c>
      <c r="G69" s="14" t="s">
        <v>72</v>
      </c>
      <c r="H69" s="14" t="s">
        <v>130</v>
      </c>
      <c r="I69" s="14" t="s">
        <v>20</v>
      </c>
      <c r="J69" s="14" t="s">
        <v>21</v>
      </c>
      <c r="K69" s="15" t="n">
        <v>448.55</v>
      </c>
      <c r="L69" s="16" t="n">
        <v>2156740.82</v>
      </c>
      <c r="M69" s="0" t="n">
        <v>211101</v>
      </c>
      <c r="N69" s="14" t="s">
        <v>131</v>
      </c>
      <c r="O69" s="14" t="s">
        <v>74</v>
      </c>
      <c r="P69" s="14" t="s">
        <v>74</v>
      </c>
    </row>
    <row r="70" customFormat="false" ht="15" hidden="false" customHeight="false" outlineLevel="0" collapsed="false">
      <c r="A70" s="0" t="n">
        <v>62121804</v>
      </c>
      <c r="B70" s="0" t="n">
        <v>1</v>
      </c>
      <c r="C70" s="13" t="n">
        <v>45674</v>
      </c>
      <c r="D70" s="0" t="n">
        <v>2025</v>
      </c>
      <c r="E70" s="14" t="s">
        <v>14</v>
      </c>
      <c r="F70" s="14" t="s">
        <v>71</v>
      </c>
      <c r="G70" s="14" t="s">
        <v>72</v>
      </c>
      <c r="H70" s="14" t="s">
        <v>42</v>
      </c>
      <c r="I70" s="14" t="s">
        <v>16</v>
      </c>
      <c r="J70" s="14" t="s">
        <v>27</v>
      </c>
      <c r="K70" s="15" t="n">
        <v>101.933</v>
      </c>
      <c r="L70" s="16" t="n">
        <v>90631.29</v>
      </c>
      <c r="M70" s="0" t="n">
        <v>60202</v>
      </c>
      <c r="N70" s="14" t="s">
        <v>93</v>
      </c>
      <c r="O70" s="14" t="s">
        <v>74</v>
      </c>
      <c r="P70" s="14" t="s">
        <v>74</v>
      </c>
    </row>
    <row r="71" customFormat="false" ht="15" hidden="false" customHeight="false" outlineLevel="0" collapsed="false">
      <c r="A71" s="0" t="n">
        <v>62864364</v>
      </c>
      <c r="B71" s="0" t="n">
        <v>1</v>
      </c>
      <c r="C71" s="13" t="n">
        <v>45685</v>
      </c>
      <c r="D71" s="0" t="n">
        <v>2025</v>
      </c>
      <c r="E71" s="14" t="s">
        <v>14</v>
      </c>
      <c r="F71" s="14" t="s">
        <v>71</v>
      </c>
      <c r="G71" s="14" t="s">
        <v>72</v>
      </c>
      <c r="H71" s="14" t="s">
        <v>15</v>
      </c>
      <c r="I71" s="14" t="s">
        <v>20</v>
      </c>
      <c r="J71" s="14" t="s">
        <v>21</v>
      </c>
      <c r="K71" s="15" t="n">
        <v>11166.76</v>
      </c>
      <c r="L71" s="16" t="n">
        <v>27094008.63</v>
      </c>
      <c r="M71" s="0" t="n">
        <v>190104</v>
      </c>
      <c r="N71" s="14" t="s">
        <v>132</v>
      </c>
      <c r="O71" s="14" t="s">
        <v>74</v>
      </c>
      <c r="P71" s="14" t="s">
        <v>74</v>
      </c>
    </row>
    <row r="72" customFormat="false" ht="15" hidden="false" customHeight="false" outlineLevel="0" collapsed="false">
      <c r="A72" s="0" t="n">
        <v>64091919</v>
      </c>
      <c r="B72" s="0" t="n">
        <v>1</v>
      </c>
      <c r="C72" s="13" t="n">
        <v>45702</v>
      </c>
      <c r="D72" s="0" t="n">
        <v>2025</v>
      </c>
      <c r="E72" s="14" t="s">
        <v>18</v>
      </c>
      <c r="F72" s="14" t="s">
        <v>71</v>
      </c>
      <c r="G72" s="14" t="s">
        <v>72</v>
      </c>
      <c r="H72" s="14" t="s">
        <v>30</v>
      </c>
      <c r="I72" s="14" t="s">
        <v>16</v>
      </c>
      <c r="J72" s="14" t="s">
        <v>27</v>
      </c>
      <c r="K72" s="15" t="n">
        <v>1233.636</v>
      </c>
      <c r="L72" s="16" t="n">
        <v>498968.75</v>
      </c>
      <c r="M72" s="0" t="n">
        <v>150202</v>
      </c>
      <c r="N72" s="14" t="s">
        <v>87</v>
      </c>
      <c r="O72" s="14" t="s">
        <v>74</v>
      </c>
      <c r="P72" s="14" t="s">
        <v>74</v>
      </c>
    </row>
    <row r="73" customFormat="false" ht="15" hidden="false" customHeight="false" outlineLevel="0" collapsed="false">
      <c r="A73" s="0" t="n">
        <v>64088074</v>
      </c>
      <c r="B73" s="0" t="n">
        <v>1</v>
      </c>
      <c r="C73" s="13" t="n">
        <v>45702</v>
      </c>
      <c r="D73" s="0" t="n">
        <v>2025</v>
      </c>
      <c r="E73" s="14" t="s">
        <v>18</v>
      </c>
      <c r="F73" s="14" t="s">
        <v>71</v>
      </c>
      <c r="G73" s="14" t="s">
        <v>72</v>
      </c>
      <c r="H73" s="14" t="s">
        <v>33</v>
      </c>
      <c r="I73" s="14" t="s">
        <v>16</v>
      </c>
      <c r="J73" s="14" t="s">
        <v>27</v>
      </c>
      <c r="K73" s="15" t="n">
        <v>1091.467</v>
      </c>
      <c r="L73" s="16" t="n">
        <v>304496.02</v>
      </c>
      <c r="M73" s="0" t="n">
        <v>40101</v>
      </c>
      <c r="N73" s="14" t="s">
        <v>82</v>
      </c>
      <c r="O73" s="14" t="s">
        <v>74</v>
      </c>
      <c r="P73" s="14" t="s">
        <v>74</v>
      </c>
    </row>
    <row r="74" customFormat="false" ht="28.35" hidden="false" customHeight="false" outlineLevel="0" collapsed="false">
      <c r="A74" s="0" t="n">
        <v>64821241</v>
      </c>
      <c r="B74" s="0" t="n">
        <v>1</v>
      </c>
      <c r="C74" s="13" t="n">
        <v>45714</v>
      </c>
      <c r="D74" s="0" t="n">
        <v>2025</v>
      </c>
      <c r="E74" s="14" t="s">
        <v>18</v>
      </c>
      <c r="F74" s="14" t="s">
        <v>71</v>
      </c>
      <c r="G74" s="14" t="s">
        <v>72</v>
      </c>
      <c r="H74" s="14" t="s">
        <v>44</v>
      </c>
      <c r="I74" s="14" t="s">
        <v>20</v>
      </c>
      <c r="J74" s="14" t="s">
        <v>27</v>
      </c>
      <c r="K74" s="15" t="n">
        <v>679.02</v>
      </c>
      <c r="L74" s="16" t="n">
        <v>1027839.36</v>
      </c>
      <c r="M74" s="0" t="n">
        <v>200210</v>
      </c>
      <c r="N74" s="17" t="s">
        <v>133</v>
      </c>
      <c r="O74" s="14" t="s">
        <v>74</v>
      </c>
      <c r="P74" s="14" t="s">
        <v>74</v>
      </c>
    </row>
    <row r="75" customFormat="false" ht="15" hidden="false" customHeight="false" outlineLevel="0" collapsed="false">
      <c r="A75" s="0" t="n">
        <v>65632982</v>
      </c>
      <c r="B75" s="0" t="n">
        <v>1</v>
      </c>
      <c r="C75" s="13" t="n">
        <v>45727</v>
      </c>
      <c r="D75" s="0" t="n">
        <v>2025</v>
      </c>
      <c r="E75" s="14" t="s">
        <v>22</v>
      </c>
      <c r="F75" s="14" t="s">
        <v>71</v>
      </c>
      <c r="G75" s="14" t="s">
        <v>72</v>
      </c>
      <c r="H75" s="14" t="s">
        <v>36</v>
      </c>
      <c r="I75" s="14" t="s">
        <v>20</v>
      </c>
      <c r="J75" s="14" t="s">
        <v>27</v>
      </c>
      <c r="K75" s="15" t="n">
        <v>665.407</v>
      </c>
      <c r="L75" s="16" t="n">
        <v>1271184.88</v>
      </c>
      <c r="M75" s="0" t="n">
        <v>20106</v>
      </c>
      <c r="N75" s="14" t="s">
        <v>134</v>
      </c>
      <c r="O75" s="14" t="s">
        <v>74</v>
      </c>
      <c r="P75" s="14" t="s">
        <v>74</v>
      </c>
    </row>
    <row r="76" customFormat="false" ht="15" hidden="false" customHeight="false" outlineLevel="0" collapsed="false">
      <c r="A76" s="0" t="n">
        <v>66584297</v>
      </c>
      <c r="B76" s="0" t="n">
        <v>1</v>
      </c>
      <c r="C76" s="13" t="n">
        <v>45742</v>
      </c>
      <c r="D76" s="0" t="n">
        <v>2025</v>
      </c>
      <c r="E76" s="14" t="s">
        <v>22</v>
      </c>
      <c r="F76" s="14" t="s">
        <v>71</v>
      </c>
      <c r="G76" s="14" t="s">
        <v>72</v>
      </c>
      <c r="H76" s="14" t="s">
        <v>42</v>
      </c>
      <c r="I76" s="14" t="s">
        <v>16</v>
      </c>
      <c r="J76" s="14" t="s">
        <v>27</v>
      </c>
      <c r="K76" s="15" t="n">
        <v>107.453</v>
      </c>
      <c r="L76" s="16" t="n">
        <v>105749.11</v>
      </c>
      <c r="M76" s="0" t="n">
        <v>60202</v>
      </c>
      <c r="N76" s="14" t="s">
        <v>99</v>
      </c>
      <c r="O76" s="14" t="s">
        <v>74</v>
      </c>
      <c r="P76" s="14" t="s">
        <v>74</v>
      </c>
    </row>
    <row r="77" customFormat="false" ht="15" hidden="false" customHeight="false" outlineLevel="0" collapsed="false">
      <c r="A77" s="0" t="n">
        <v>67603788</v>
      </c>
      <c r="B77" s="0" t="n">
        <v>1</v>
      </c>
      <c r="C77" s="13" t="n">
        <v>45757</v>
      </c>
      <c r="D77" s="0" t="n">
        <v>2025</v>
      </c>
      <c r="E77" s="14" t="s">
        <v>25</v>
      </c>
      <c r="F77" s="14" t="s">
        <v>71</v>
      </c>
      <c r="G77" s="14" t="s">
        <v>72</v>
      </c>
      <c r="H77" s="14" t="s">
        <v>23</v>
      </c>
      <c r="I77" s="14" t="s">
        <v>20</v>
      </c>
      <c r="J77" s="14" t="s">
        <v>27</v>
      </c>
      <c r="K77" s="15" t="n">
        <v>1586.951</v>
      </c>
      <c r="L77" s="16" t="n">
        <v>4169192.08</v>
      </c>
      <c r="M77" s="0" t="n">
        <v>110304</v>
      </c>
      <c r="N77" s="14" t="s">
        <v>135</v>
      </c>
      <c r="O77" s="14" t="s">
        <v>74</v>
      </c>
      <c r="P77" s="14" t="s">
        <v>74</v>
      </c>
    </row>
    <row r="78" customFormat="false" ht="28.35" hidden="false" customHeight="false" outlineLevel="0" collapsed="false">
      <c r="A78" s="0" t="n">
        <v>69949886</v>
      </c>
      <c r="B78" s="0" t="n">
        <v>1</v>
      </c>
      <c r="C78" s="13" t="n">
        <v>45790</v>
      </c>
      <c r="D78" s="0" t="n">
        <v>2025</v>
      </c>
      <c r="E78" s="14" t="s">
        <v>29</v>
      </c>
      <c r="F78" s="14" t="s">
        <v>71</v>
      </c>
      <c r="G78" s="14" t="s">
        <v>72</v>
      </c>
      <c r="H78" s="14" t="s">
        <v>36</v>
      </c>
      <c r="I78" s="14" t="s">
        <v>20</v>
      </c>
      <c r="J78" s="14" t="s">
        <v>27</v>
      </c>
      <c r="K78" s="15" t="n">
        <v>1947.812</v>
      </c>
      <c r="L78" s="16" t="n">
        <v>4998354.96</v>
      </c>
      <c r="M78" s="0" t="n">
        <v>20106</v>
      </c>
      <c r="N78" s="17" t="s">
        <v>136</v>
      </c>
      <c r="O78" s="14" t="s">
        <v>74</v>
      </c>
      <c r="P78" s="14" t="s">
        <v>74</v>
      </c>
    </row>
    <row r="79" customFormat="false" ht="15" hidden="false" customHeight="false" outlineLevel="0" collapsed="false">
      <c r="A79" s="0" t="n">
        <v>70810847</v>
      </c>
      <c r="B79" s="0" t="n">
        <v>1</v>
      </c>
      <c r="C79" s="13" t="n">
        <v>45800</v>
      </c>
      <c r="D79" s="0" t="n">
        <v>2025</v>
      </c>
      <c r="E79" s="14" t="s">
        <v>29</v>
      </c>
      <c r="F79" s="14" t="s">
        <v>106</v>
      </c>
      <c r="G79" s="14" t="s">
        <v>107</v>
      </c>
      <c r="H79" s="14" t="s">
        <v>39</v>
      </c>
      <c r="I79" s="14" t="s">
        <v>16</v>
      </c>
      <c r="J79" s="14" t="s">
        <v>137</v>
      </c>
      <c r="K79" s="15" t="n">
        <v>45.714</v>
      </c>
      <c r="L79" s="16" t="n">
        <v>195455</v>
      </c>
      <c r="M79" s="0" t="n">
        <v>130101</v>
      </c>
      <c r="N79" s="14" t="s">
        <v>138</v>
      </c>
      <c r="O79" s="14" t="s">
        <v>74</v>
      </c>
      <c r="P79" s="14" t="s">
        <v>74</v>
      </c>
    </row>
    <row r="80" customFormat="false" ht="15" hidden="false" customHeight="false" outlineLevel="0" collapsed="false">
      <c r="A80" s="0" t="n">
        <v>71010656</v>
      </c>
      <c r="B80" s="0" t="n">
        <v>1</v>
      </c>
      <c r="C80" s="13" t="n">
        <v>45803</v>
      </c>
      <c r="D80" s="0" t="n">
        <v>2025</v>
      </c>
      <c r="E80" s="14" t="s">
        <v>29</v>
      </c>
      <c r="F80" s="14" t="s">
        <v>71</v>
      </c>
      <c r="G80" s="14" t="s">
        <v>72</v>
      </c>
      <c r="H80" s="14" t="s">
        <v>30</v>
      </c>
      <c r="I80" s="14" t="s">
        <v>16</v>
      </c>
      <c r="J80" s="14" t="s">
        <v>27</v>
      </c>
      <c r="K80" s="15" t="n">
        <v>1046.552</v>
      </c>
      <c r="L80" s="16" t="n">
        <v>501099.56</v>
      </c>
      <c r="M80" s="0" t="n">
        <v>150202</v>
      </c>
      <c r="N80" s="14" t="s">
        <v>139</v>
      </c>
      <c r="O80" s="14" t="s">
        <v>74</v>
      </c>
      <c r="P80" s="14" t="s">
        <v>74</v>
      </c>
    </row>
    <row r="81" customFormat="false" ht="15" hidden="false" customHeight="false" outlineLevel="0" collapsed="false">
      <c r="A81" s="0" t="n">
        <v>71141808</v>
      </c>
      <c r="B81" s="0" t="n">
        <v>1</v>
      </c>
      <c r="C81" s="13" t="n">
        <v>45805</v>
      </c>
      <c r="D81" s="0" t="n">
        <v>2025</v>
      </c>
      <c r="E81" s="14" t="s">
        <v>29</v>
      </c>
      <c r="F81" s="14" t="s">
        <v>71</v>
      </c>
      <c r="G81" s="14" t="s">
        <v>72</v>
      </c>
      <c r="H81" s="14" t="s">
        <v>30</v>
      </c>
      <c r="I81" s="14" t="s">
        <v>16</v>
      </c>
      <c r="J81" s="14" t="s">
        <v>27</v>
      </c>
      <c r="K81" s="15" t="n">
        <v>707.631</v>
      </c>
      <c r="L81" s="16" t="n">
        <v>348982.38</v>
      </c>
      <c r="M81" s="0" t="n">
        <v>150202</v>
      </c>
      <c r="N81" s="14" t="s">
        <v>139</v>
      </c>
      <c r="O81" s="14" t="s">
        <v>74</v>
      </c>
      <c r="P81" s="14" t="s">
        <v>74</v>
      </c>
    </row>
    <row r="82" customFormat="false" ht="28.35" hidden="false" customHeight="false" outlineLevel="0" collapsed="false">
      <c r="A82" s="0" t="n">
        <v>72420755</v>
      </c>
      <c r="B82" s="0" t="n">
        <v>1</v>
      </c>
      <c r="C82" s="13" t="n">
        <v>45819</v>
      </c>
      <c r="D82" s="0" t="n">
        <v>2025</v>
      </c>
      <c r="E82" s="14" t="s">
        <v>32</v>
      </c>
      <c r="F82" s="14" t="s">
        <v>71</v>
      </c>
      <c r="G82" s="14" t="s">
        <v>72</v>
      </c>
      <c r="H82" s="14" t="s">
        <v>44</v>
      </c>
      <c r="I82" s="14" t="s">
        <v>20</v>
      </c>
      <c r="J82" s="14" t="s">
        <v>27</v>
      </c>
      <c r="K82" s="15" t="n">
        <v>771.839</v>
      </c>
      <c r="L82" s="16" t="n">
        <v>1307555.07</v>
      </c>
      <c r="M82" s="0" t="n">
        <v>200210</v>
      </c>
      <c r="N82" s="17" t="s">
        <v>140</v>
      </c>
      <c r="O82" s="14" t="s">
        <v>74</v>
      </c>
      <c r="P82" s="14" t="s">
        <v>74</v>
      </c>
    </row>
    <row r="83" customFormat="false" ht="28.35" hidden="false" customHeight="false" outlineLevel="0" collapsed="false">
      <c r="A83" s="0" t="n">
        <v>72728257</v>
      </c>
      <c r="B83" s="0" t="n">
        <v>1</v>
      </c>
      <c r="C83" s="13" t="n">
        <v>45822</v>
      </c>
      <c r="D83" s="0" t="n">
        <v>2025</v>
      </c>
      <c r="E83" s="14" t="s">
        <v>32</v>
      </c>
      <c r="F83" s="14" t="s">
        <v>71</v>
      </c>
      <c r="G83" s="14" t="s">
        <v>72</v>
      </c>
      <c r="H83" s="14" t="s">
        <v>33</v>
      </c>
      <c r="I83" s="14" t="s">
        <v>20</v>
      </c>
      <c r="J83" s="14" t="s">
        <v>27</v>
      </c>
      <c r="K83" s="15" t="n">
        <v>44.246</v>
      </c>
      <c r="L83" s="16" t="n">
        <v>186656.42</v>
      </c>
      <c r="M83" s="0" t="n">
        <v>40303</v>
      </c>
      <c r="N83" s="17" t="s">
        <v>141</v>
      </c>
      <c r="O83" s="14" t="s">
        <v>74</v>
      </c>
      <c r="P83" s="14" t="s">
        <v>74</v>
      </c>
    </row>
    <row r="84" customFormat="false" ht="15" hidden="false" customHeight="false" outlineLevel="0" collapsed="false">
      <c r="A84" s="0" t="n">
        <v>74355407</v>
      </c>
      <c r="B84" s="0" t="n">
        <v>1</v>
      </c>
      <c r="C84" s="13" t="n">
        <v>45840</v>
      </c>
      <c r="D84" s="0" t="n">
        <v>2025</v>
      </c>
      <c r="E84" s="14" t="s">
        <v>35</v>
      </c>
      <c r="F84" s="14" t="s">
        <v>71</v>
      </c>
      <c r="G84" s="14" t="s">
        <v>72</v>
      </c>
      <c r="H84" s="14" t="s">
        <v>39</v>
      </c>
      <c r="I84" s="14" t="s">
        <v>16</v>
      </c>
      <c r="J84" s="14" t="s">
        <v>27</v>
      </c>
      <c r="K84" s="15" t="n">
        <v>835.74</v>
      </c>
      <c r="L84" s="16" t="n">
        <v>408591.68</v>
      </c>
      <c r="M84" s="0" t="n">
        <v>131006</v>
      </c>
      <c r="N84" s="14" t="s">
        <v>142</v>
      </c>
      <c r="O84" s="14" t="s">
        <v>74</v>
      </c>
      <c r="P84" s="14" t="s">
        <v>74</v>
      </c>
    </row>
    <row r="85" customFormat="false" ht="15" hidden="false" customHeight="false" outlineLevel="0" collapsed="false">
      <c r="A85" s="0" t="n">
        <v>75789141</v>
      </c>
      <c r="B85" s="0" t="n">
        <v>1</v>
      </c>
      <c r="C85" s="13" t="n">
        <v>45854</v>
      </c>
      <c r="D85" s="0" t="n">
        <v>2025</v>
      </c>
      <c r="E85" s="14" t="s">
        <v>35</v>
      </c>
      <c r="F85" s="14" t="s">
        <v>71</v>
      </c>
      <c r="G85" s="14" t="s">
        <v>72</v>
      </c>
      <c r="H85" s="14" t="s">
        <v>36</v>
      </c>
      <c r="I85" s="14" t="s">
        <v>20</v>
      </c>
      <c r="J85" s="14" t="s">
        <v>27</v>
      </c>
      <c r="K85" s="15" t="n">
        <v>794.628</v>
      </c>
      <c r="L85" s="16" t="n">
        <v>2157037.3</v>
      </c>
      <c r="M85" s="0" t="n">
        <v>20106</v>
      </c>
      <c r="N85" s="14" t="s">
        <v>143</v>
      </c>
      <c r="O85" s="14" t="s">
        <v>74</v>
      </c>
      <c r="P85" s="14" t="s">
        <v>74</v>
      </c>
    </row>
    <row r="86" customFormat="false" ht="15" hidden="false" customHeight="false" outlineLevel="0" collapsed="false">
      <c r="A86" s="0" t="n">
        <v>75909136</v>
      </c>
      <c r="B86" s="0" t="n">
        <v>1</v>
      </c>
      <c r="C86" s="13" t="n">
        <v>45856</v>
      </c>
      <c r="D86" s="0" t="n">
        <v>2025</v>
      </c>
      <c r="E86" s="14" t="s">
        <v>35</v>
      </c>
      <c r="F86" s="14" t="s">
        <v>71</v>
      </c>
      <c r="G86" s="14" t="s">
        <v>72</v>
      </c>
      <c r="H86" s="14" t="s">
        <v>44</v>
      </c>
      <c r="I86" s="14" t="s">
        <v>20</v>
      </c>
      <c r="J86" s="14" t="s">
        <v>27</v>
      </c>
      <c r="K86" s="15" t="n">
        <v>780.483</v>
      </c>
      <c r="L86" s="16" t="n">
        <v>1557522.61</v>
      </c>
      <c r="M86" s="0" t="n">
        <v>200210</v>
      </c>
      <c r="N86" s="14" t="s">
        <v>144</v>
      </c>
      <c r="O86" s="14" t="s">
        <v>74</v>
      </c>
      <c r="P86" s="14" t="s">
        <v>74</v>
      </c>
    </row>
    <row r="87" customFormat="false" ht="15" hidden="false" customHeight="false" outlineLevel="0" collapsed="false">
      <c r="A87" s="0" t="n">
        <v>80660551</v>
      </c>
      <c r="B87" s="0" t="n">
        <v>1</v>
      </c>
      <c r="C87" s="13" t="n">
        <v>45902</v>
      </c>
      <c r="D87" s="0" t="n">
        <v>2025</v>
      </c>
      <c r="E87" s="14" t="s">
        <v>41</v>
      </c>
      <c r="F87" s="14" t="s">
        <v>71</v>
      </c>
      <c r="G87" s="14" t="s">
        <v>72</v>
      </c>
      <c r="H87" s="14" t="s">
        <v>26</v>
      </c>
      <c r="I87" s="14" t="s">
        <v>16</v>
      </c>
      <c r="J87" s="14" t="s">
        <v>27</v>
      </c>
      <c r="K87" s="15" t="n">
        <v>457.194</v>
      </c>
      <c r="L87" s="16" t="n">
        <v>1128636.88</v>
      </c>
      <c r="M87" s="0" t="n">
        <v>50612</v>
      </c>
      <c r="N87" s="14" t="s">
        <v>145</v>
      </c>
      <c r="O87" s="14" t="s">
        <v>74</v>
      </c>
      <c r="P87" s="14" t="s">
        <v>74</v>
      </c>
    </row>
    <row r="88" customFormat="false" ht="15" hidden="false" customHeight="false" outlineLevel="0" collapsed="false">
      <c r="A88" s="0" t="n">
        <v>80616499</v>
      </c>
      <c r="B88" s="0" t="n">
        <v>1</v>
      </c>
      <c r="C88" s="13" t="n">
        <v>45901</v>
      </c>
      <c r="D88" s="0" t="n">
        <v>2025</v>
      </c>
      <c r="E88" s="14" t="s">
        <v>41</v>
      </c>
      <c r="F88" s="14" t="s">
        <v>71</v>
      </c>
      <c r="G88" s="14" t="s">
        <v>72</v>
      </c>
      <c r="H88" s="14" t="s">
        <v>39</v>
      </c>
      <c r="I88" s="14" t="s">
        <v>16</v>
      </c>
      <c r="J88" s="14" t="s">
        <v>27</v>
      </c>
      <c r="K88" s="15" t="n">
        <v>532.66</v>
      </c>
      <c r="L88" s="16" t="n">
        <v>330000</v>
      </c>
      <c r="M88" s="0" t="n">
        <v>130101</v>
      </c>
      <c r="N88" s="14" t="s">
        <v>146</v>
      </c>
      <c r="O88" s="14" t="s">
        <v>74</v>
      </c>
      <c r="P88" s="14" t="s">
        <v>74</v>
      </c>
    </row>
    <row r="89" customFormat="false" ht="28.35" hidden="false" customHeight="false" outlineLevel="0" collapsed="false">
      <c r="A89" s="0" t="n">
        <v>82531833</v>
      </c>
      <c r="B89" s="0" t="n">
        <v>1</v>
      </c>
      <c r="C89" s="13" t="n">
        <v>45919</v>
      </c>
      <c r="D89" s="0" t="n">
        <v>2025</v>
      </c>
      <c r="E89" s="14" t="s">
        <v>41</v>
      </c>
      <c r="F89" s="14" t="s">
        <v>71</v>
      </c>
      <c r="G89" s="14" t="s">
        <v>72</v>
      </c>
      <c r="H89" s="14" t="s">
        <v>15</v>
      </c>
      <c r="I89" s="14" t="s">
        <v>20</v>
      </c>
      <c r="J89" s="14" t="s">
        <v>27</v>
      </c>
      <c r="K89" s="15" t="n">
        <v>1017.92</v>
      </c>
      <c r="L89" s="16" t="n">
        <v>8988498.26</v>
      </c>
      <c r="M89" s="0" t="n">
        <v>190104</v>
      </c>
      <c r="N89" s="17" t="s">
        <v>147</v>
      </c>
      <c r="O89" s="14" t="s">
        <v>74</v>
      </c>
      <c r="P89" s="14" t="s">
        <v>74</v>
      </c>
    </row>
    <row r="90" customFormat="false" ht="15" hidden="false" customHeight="false" outlineLevel="0" collapsed="false">
      <c r="A90" s="0" t="n">
        <v>83090240</v>
      </c>
      <c r="B90" s="0" t="n">
        <v>1</v>
      </c>
      <c r="C90" s="13" t="n">
        <v>45924</v>
      </c>
      <c r="D90" s="0" t="n">
        <v>2025</v>
      </c>
      <c r="E90" s="14" t="s">
        <v>41</v>
      </c>
      <c r="F90" s="14" t="s">
        <v>71</v>
      </c>
      <c r="G90" s="14" t="s">
        <v>72</v>
      </c>
      <c r="H90" s="14" t="s">
        <v>30</v>
      </c>
      <c r="I90" s="14" t="s">
        <v>16</v>
      </c>
      <c r="J90" s="14" t="s">
        <v>27</v>
      </c>
      <c r="K90" s="15" t="n">
        <v>890.158</v>
      </c>
      <c r="L90" s="16" t="n">
        <v>474605.54</v>
      </c>
      <c r="M90" s="0" t="n">
        <v>150202</v>
      </c>
      <c r="N90" s="14" t="s">
        <v>148</v>
      </c>
      <c r="O90" s="14" t="s">
        <v>74</v>
      </c>
      <c r="P90" s="14" t="s">
        <v>74</v>
      </c>
    </row>
    <row r="91" customFormat="false" ht="15" hidden="false" customHeight="false" outlineLevel="0" collapsed="false">
      <c r="A91" s="0" t="n">
        <v>83544514</v>
      </c>
      <c r="B91" s="0" t="n">
        <v>1</v>
      </c>
      <c r="C91" s="13" t="n">
        <v>45929</v>
      </c>
      <c r="D91" s="0" t="n">
        <v>2025</v>
      </c>
      <c r="E91" s="14" t="s">
        <v>41</v>
      </c>
      <c r="F91" s="14" t="s">
        <v>106</v>
      </c>
      <c r="G91" s="14" t="s">
        <v>107</v>
      </c>
      <c r="H91" s="14" t="s">
        <v>30</v>
      </c>
      <c r="I91" s="14" t="s">
        <v>16</v>
      </c>
      <c r="J91" s="14" t="s">
        <v>31</v>
      </c>
      <c r="K91" s="15" t="n">
        <v>25.822</v>
      </c>
      <c r="L91" s="16" t="n">
        <v>64839.04</v>
      </c>
      <c r="M91" s="0" t="n">
        <v>150140</v>
      </c>
      <c r="N91" s="14" t="s">
        <v>149</v>
      </c>
      <c r="O91" s="14" t="s">
        <v>74</v>
      </c>
      <c r="P91" s="14" t="s">
        <v>74</v>
      </c>
    </row>
    <row r="92" customFormat="false" ht="15" hidden="false" customHeight="false" outlineLevel="0" collapsed="false">
      <c r="A92" s="0" t="n">
        <v>83843390</v>
      </c>
      <c r="B92" s="0" t="n">
        <v>1</v>
      </c>
      <c r="C92" s="13" t="n">
        <v>45932</v>
      </c>
      <c r="D92" s="0" t="n">
        <v>2025</v>
      </c>
      <c r="E92" s="14" t="s">
        <v>43</v>
      </c>
      <c r="F92" s="14" t="s">
        <v>71</v>
      </c>
      <c r="G92" s="14" t="s">
        <v>72</v>
      </c>
      <c r="H92" s="14" t="s">
        <v>30</v>
      </c>
      <c r="I92" s="14" t="s">
        <v>16</v>
      </c>
      <c r="J92" s="14" t="s">
        <v>27</v>
      </c>
      <c r="K92" s="15" t="n">
        <v>959.129</v>
      </c>
      <c r="L92" s="16" t="n">
        <v>555220.6</v>
      </c>
      <c r="M92" s="0" t="n">
        <v>150202</v>
      </c>
      <c r="N92" s="14" t="s">
        <v>148</v>
      </c>
      <c r="O92" s="14" t="s">
        <v>74</v>
      </c>
      <c r="P92" s="14" t="s">
        <v>74</v>
      </c>
    </row>
    <row r="93" customFormat="false" ht="15" hidden="false" customHeight="false" outlineLevel="0" collapsed="false">
      <c r="A93" s="0" t="n">
        <v>83824400</v>
      </c>
      <c r="B93" s="0" t="n">
        <v>1</v>
      </c>
      <c r="C93" s="13" t="n">
        <v>45932</v>
      </c>
      <c r="D93" s="0" t="n">
        <v>2025</v>
      </c>
      <c r="E93" s="14" t="s">
        <v>43</v>
      </c>
      <c r="F93" s="14" t="s">
        <v>71</v>
      </c>
      <c r="G93" s="14" t="s">
        <v>72</v>
      </c>
      <c r="H93" s="14" t="s">
        <v>15</v>
      </c>
      <c r="I93" s="14" t="s">
        <v>20</v>
      </c>
      <c r="J93" s="14" t="s">
        <v>24</v>
      </c>
      <c r="K93" s="15" t="n">
        <v>11011.647</v>
      </c>
      <c r="L93" s="16" t="n">
        <v>37132455.22</v>
      </c>
      <c r="M93" s="0" t="n">
        <v>190104</v>
      </c>
      <c r="N93" s="14" t="s">
        <v>150</v>
      </c>
      <c r="O93" s="14" t="s">
        <v>74</v>
      </c>
      <c r="P93" s="14" t="s">
        <v>74</v>
      </c>
    </row>
    <row r="94" customFormat="false" ht="15" hidden="false" customHeight="false" outlineLevel="0" collapsed="false">
      <c r="A94" s="0" t="n">
        <v>65561421</v>
      </c>
      <c r="B94" s="0" t="n">
        <v>1</v>
      </c>
      <c r="C94" s="13" t="n">
        <v>45726</v>
      </c>
      <c r="D94" s="0" t="n">
        <v>2025</v>
      </c>
      <c r="E94" s="14" t="s">
        <v>22</v>
      </c>
      <c r="F94" s="14" t="s">
        <v>71</v>
      </c>
      <c r="G94" s="14" t="s">
        <v>72</v>
      </c>
      <c r="H94" s="14" t="s">
        <v>19</v>
      </c>
      <c r="I94" s="14" t="s">
        <v>20</v>
      </c>
      <c r="J94" s="14" t="s">
        <v>17</v>
      </c>
      <c r="K94" s="15" t="n">
        <v>10985.818</v>
      </c>
      <c r="L94" s="16" t="n">
        <v>33386740.67</v>
      </c>
      <c r="M94" s="0" t="n">
        <v>120805</v>
      </c>
      <c r="N94" s="14" t="s">
        <v>79</v>
      </c>
      <c r="O94" s="14" t="s">
        <v>74</v>
      </c>
      <c r="P94" s="14" t="s">
        <v>74</v>
      </c>
    </row>
    <row r="95" customFormat="false" ht="15" hidden="false" customHeight="false" outlineLevel="0" collapsed="false">
      <c r="A95" s="0" t="n">
        <v>65699818</v>
      </c>
      <c r="B95" s="0" t="n">
        <v>1</v>
      </c>
      <c r="C95" s="13" t="n">
        <v>45728</v>
      </c>
      <c r="D95" s="0" t="n">
        <v>2025</v>
      </c>
      <c r="E95" s="14" t="s">
        <v>22</v>
      </c>
      <c r="F95" s="14" t="s">
        <v>71</v>
      </c>
      <c r="G95" s="14" t="s">
        <v>72</v>
      </c>
      <c r="H95" s="14" t="s">
        <v>44</v>
      </c>
      <c r="I95" s="14" t="s">
        <v>20</v>
      </c>
      <c r="J95" s="14" t="s">
        <v>27</v>
      </c>
      <c r="K95" s="15" t="n">
        <v>1447.656</v>
      </c>
      <c r="L95" s="16" t="n">
        <v>2214116.02</v>
      </c>
      <c r="M95" s="0" t="n">
        <v>200111</v>
      </c>
      <c r="N95" s="14" t="s">
        <v>151</v>
      </c>
      <c r="O95" s="14" t="s">
        <v>74</v>
      </c>
      <c r="P95" s="14" t="s">
        <v>74</v>
      </c>
    </row>
    <row r="96" customFormat="false" ht="15" hidden="false" customHeight="false" outlineLevel="0" collapsed="false">
      <c r="A96" s="0" t="n">
        <v>65962760</v>
      </c>
      <c r="B96" s="0" t="n">
        <v>1</v>
      </c>
      <c r="C96" s="13" t="n">
        <v>45733</v>
      </c>
      <c r="D96" s="0" t="n">
        <v>2025</v>
      </c>
      <c r="E96" s="14" t="s">
        <v>22</v>
      </c>
      <c r="F96" s="14" t="s">
        <v>71</v>
      </c>
      <c r="G96" s="14" t="s">
        <v>72</v>
      </c>
      <c r="H96" s="14" t="s">
        <v>33</v>
      </c>
      <c r="I96" s="14" t="s">
        <v>16</v>
      </c>
      <c r="J96" s="14" t="s">
        <v>27</v>
      </c>
      <c r="K96" s="15" t="n">
        <v>503.151</v>
      </c>
      <c r="L96" s="16" t="n">
        <v>178517.31</v>
      </c>
      <c r="M96" s="0" t="n">
        <v>40101</v>
      </c>
      <c r="N96" s="14" t="s">
        <v>82</v>
      </c>
      <c r="O96" s="14" t="s">
        <v>74</v>
      </c>
      <c r="P96" s="14" t="s">
        <v>74</v>
      </c>
    </row>
    <row r="97" customFormat="false" ht="28.35" hidden="false" customHeight="false" outlineLevel="0" collapsed="false">
      <c r="A97" s="0" t="n">
        <v>66673623</v>
      </c>
      <c r="B97" s="0" t="n">
        <v>1</v>
      </c>
      <c r="C97" s="13" t="n">
        <v>45743</v>
      </c>
      <c r="D97" s="0" t="n">
        <v>2025</v>
      </c>
      <c r="E97" s="14" t="s">
        <v>22</v>
      </c>
      <c r="F97" s="14" t="s">
        <v>71</v>
      </c>
      <c r="G97" s="14" t="s">
        <v>72</v>
      </c>
      <c r="H97" s="14" t="s">
        <v>23</v>
      </c>
      <c r="I97" s="14" t="s">
        <v>20</v>
      </c>
      <c r="J97" s="14" t="s">
        <v>27</v>
      </c>
      <c r="K97" s="15" t="n">
        <v>2002.608</v>
      </c>
      <c r="L97" s="16" t="n">
        <v>384190.18</v>
      </c>
      <c r="M97" s="0" t="n">
        <v>110203</v>
      </c>
      <c r="N97" s="17" t="s">
        <v>152</v>
      </c>
      <c r="O97" s="14" t="s">
        <v>74</v>
      </c>
      <c r="P97" s="14" t="s">
        <v>74</v>
      </c>
    </row>
    <row r="98" customFormat="false" ht="15" hidden="false" customHeight="false" outlineLevel="0" collapsed="false">
      <c r="A98" s="0" t="n">
        <v>67219489</v>
      </c>
      <c r="B98" s="0" t="n">
        <v>1</v>
      </c>
      <c r="C98" s="13" t="n">
        <v>45751</v>
      </c>
      <c r="D98" s="0" t="n">
        <v>2025</v>
      </c>
      <c r="E98" s="14" t="s">
        <v>25</v>
      </c>
      <c r="F98" s="14" t="s">
        <v>71</v>
      </c>
      <c r="G98" s="14" t="s">
        <v>72</v>
      </c>
      <c r="H98" s="14" t="s">
        <v>30</v>
      </c>
      <c r="I98" s="14" t="s">
        <v>20</v>
      </c>
      <c r="J98" s="14" t="s">
        <v>27</v>
      </c>
      <c r="K98" s="15" t="n">
        <v>727.643</v>
      </c>
      <c r="L98" s="16" t="n">
        <v>372298.54</v>
      </c>
      <c r="M98" s="0" t="n">
        <v>150202</v>
      </c>
      <c r="N98" s="14" t="s">
        <v>153</v>
      </c>
      <c r="O98" s="14" t="s">
        <v>74</v>
      </c>
      <c r="P98" s="14" t="s">
        <v>74</v>
      </c>
    </row>
    <row r="99" customFormat="false" ht="15" hidden="false" customHeight="false" outlineLevel="0" collapsed="false">
      <c r="A99" s="0" t="n">
        <v>68630483</v>
      </c>
      <c r="B99" s="0" t="n">
        <v>1</v>
      </c>
      <c r="C99" s="13" t="n">
        <v>45772</v>
      </c>
      <c r="D99" s="0" t="n">
        <v>2025</v>
      </c>
      <c r="E99" s="14" t="s">
        <v>25</v>
      </c>
      <c r="F99" s="14" t="s">
        <v>71</v>
      </c>
      <c r="G99" s="14" t="s">
        <v>72</v>
      </c>
      <c r="H99" s="14" t="s">
        <v>30</v>
      </c>
      <c r="I99" s="14" t="s">
        <v>16</v>
      </c>
      <c r="J99" s="14" t="s">
        <v>27</v>
      </c>
      <c r="K99" s="15" t="n">
        <v>1054.072</v>
      </c>
      <c r="L99" s="16" t="n">
        <v>490101.32</v>
      </c>
      <c r="M99" s="0" t="n">
        <v>150202</v>
      </c>
      <c r="N99" s="14" t="s">
        <v>139</v>
      </c>
      <c r="O99" s="14" t="s">
        <v>74</v>
      </c>
      <c r="P99" s="14" t="s">
        <v>74</v>
      </c>
    </row>
    <row r="100" customFormat="false" ht="15" hidden="false" customHeight="false" outlineLevel="0" collapsed="false">
      <c r="A100" s="0" t="n">
        <v>68652846</v>
      </c>
      <c r="B100" s="0" t="n">
        <v>1</v>
      </c>
      <c r="C100" s="13" t="n">
        <v>45772</v>
      </c>
      <c r="D100" s="0" t="n">
        <v>2025</v>
      </c>
      <c r="E100" s="14" t="s">
        <v>25</v>
      </c>
      <c r="F100" s="14" t="s">
        <v>71</v>
      </c>
      <c r="G100" s="14" t="s">
        <v>72</v>
      </c>
      <c r="H100" s="14" t="s">
        <v>36</v>
      </c>
      <c r="I100" s="14" t="s">
        <v>20</v>
      </c>
      <c r="J100" s="14" t="s">
        <v>27</v>
      </c>
      <c r="K100" s="15" t="n">
        <v>380.887</v>
      </c>
      <c r="L100" s="16" t="n">
        <v>1344169.57</v>
      </c>
      <c r="M100" s="0" t="n">
        <v>20106</v>
      </c>
      <c r="N100" s="14" t="s">
        <v>154</v>
      </c>
      <c r="O100" s="14" t="s">
        <v>74</v>
      </c>
      <c r="P100" s="14" t="s">
        <v>74</v>
      </c>
    </row>
    <row r="101" customFormat="false" ht="15" hidden="false" customHeight="false" outlineLevel="0" collapsed="false">
      <c r="A101" s="0" t="n">
        <v>68913028</v>
      </c>
      <c r="B101" s="0" t="n">
        <v>1</v>
      </c>
      <c r="C101" s="13" t="n">
        <v>45777</v>
      </c>
      <c r="D101" s="0" t="n">
        <v>2025</v>
      </c>
      <c r="E101" s="14" t="s">
        <v>25</v>
      </c>
      <c r="F101" s="14" t="s">
        <v>71</v>
      </c>
      <c r="G101" s="14" t="s">
        <v>72</v>
      </c>
      <c r="H101" s="14" t="s">
        <v>15</v>
      </c>
      <c r="I101" s="14" t="s">
        <v>20</v>
      </c>
      <c r="J101" s="14" t="s">
        <v>24</v>
      </c>
      <c r="K101" s="15" t="n">
        <v>11052.059</v>
      </c>
      <c r="L101" s="16" t="n">
        <v>32653515.87</v>
      </c>
      <c r="M101" s="0" t="n">
        <v>190104</v>
      </c>
      <c r="N101" s="14" t="s">
        <v>155</v>
      </c>
      <c r="O101" s="14" t="s">
        <v>74</v>
      </c>
      <c r="P101" s="14" t="s">
        <v>74</v>
      </c>
    </row>
    <row r="102" customFormat="false" ht="15" hidden="false" customHeight="false" outlineLevel="0" collapsed="false">
      <c r="A102" s="0" t="n">
        <v>68976764</v>
      </c>
      <c r="B102" s="0" t="n">
        <v>1</v>
      </c>
      <c r="C102" s="13" t="n">
        <v>45778</v>
      </c>
      <c r="D102" s="0" t="n">
        <v>2025</v>
      </c>
      <c r="E102" s="14" t="s">
        <v>29</v>
      </c>
      <c r="F102" s="14" t="s">
        <v>71</v>
      </c>
      <c r="G102" s="14" t="s">
        <v>72</v>
      </c>
      <c r="H102" s="14" t="s">
        <v>30</v>
      </c>
      <c r="I102" s="14" t="s">
        <v>20</v>
      </c>
      <c r="J102" s="14" t="s">
        <v>27</v>
      </c>
      <c r="K102" s="15" t="n">
        <v>833.483</v>
      </c>
      <c r="L102" s="16" t="n">
        <v>430919.05</v>
      </c>
      <c r="M102" s="0" t="n">
        <v>150202</v>
      </c>
      <c r="N102" s="14" t="s">
        <v>156</v>
      </c>
      <c r="O102" s="14" t="s">
        <v>74</v>
      </c>
      <c r="P102" s="14" t="s">
        <v>74</v>
      </c>
    </row>
    <row r="103" customFormat="false" ht="28.35" hidden="false" customHeight="false" outlineLevel="0" collapsed="false">
      <c r="A103" s="0" t="n">
        <v>68984031</v>
      </c>
      <c r="B103" s="0" t="n">
        <v>1</v>
      </c>
      <c r="C103" s="13" t="n">
        <v>45778</v>
      </c>
      <c r="D103" s="0" t="n">
        <v>2025</v>
      </c>
      <c r="E103" s="14" t="s">
        <v>29</v>
      </c>
      <c r="F103" s="14" t="s">
        <v>71</v>
      </c>
      <c r="G103" s="14" t="s">
        <v>72</v>
      </c>
      <c r="H103" s="14" t="s">
        <v>33</v>
      </c>
      <c r="I103" s="14" t="s">
        <v>20</v>
      </c>
      <c r="J103" s="14" t="s">
        <v>27</v>
      </c>
      <c r="K103" s="15" t="n">
        <v>119.431</v>
      </c>
      <c r="L103" s="16" t="n">
        <v>1922804.87</v>
      </c>
      <c r="M103" s="0" t="n">
        <v>40303</v>
      </c>
      <c r="N103" s="17" t="s">
        <v>157</v>
      </c>
      <c r="O103" s="14" t="s">
        <v>74</v>
      </c>
      <c r="P103" s="14" t="s">
        <v>74</v>
      </c>
    </row>
    <row r="104" customFormat="false" ht="15" hidden="false" customHeight="false" outlineLevel="0" collapsed="false">
      <c r="A104" s="0" t="n">
        <v>69223791</v>
      </c>
      <c r="B104" s="0" t="n">
        <v>1</v>
      </c>
      <c r="C104" s="13" t="n">
        <v>45782</v>
      </c>
      <c r="D104" s="0" t="n">
        <v>2025</v>
      </c>
      <c r="E104" s="14" t="s">
        <v>29</v>
      </c>
      <c r="F104" s="14" t="s">
        <v>71</v>
      </c>
      <c r="G104" s="14" t="s">
        <v>72</v>
      </c>
      <c r="H104" s="14" t="s">
        <v>19</v>
      </c>
      <c r="I104" s="14" t="s">
        <v>20</v>
      </c>
      <c r="J104" s="14" t="s">
        <v>17</v>
      </c>
      <c r="K104" s="15" t="n">
        <v>9110.745</v>
      </c>
      <c r="L104" s="16" t="n">
        <v>27920245.98</v>
      </c>
      <c r="M104" s="0" t="n">
        <v>120805</v>
      </c>
      <c r="N104" s="14" t="s">
        <v>79</v>
      </c>
      <c r="O104" s="14" t="s">
        <v>74</v>
      </c>
      <c r="P104" s="14" t="s">
        <v>74</v>
      </c>
    </row>
    <row r="105" customFormat="false" ht="15" hidden="false" customHeight="false" outlineLevel="0" collapsed="false">
      <c r="A105" s="0" t="n">
        <v>69705331</v>
      </c>
      <c r="B105" s="0" t="n">
        <v>1</v>
      </c>
      <c r="C105" s="13" t="n">
        <v>45786</v>
      </c>
      <c r="D105" s="0" t="n">
        <v>2025</v>
      </c>
      <c r="E105" s="14" t="s">
        <v>29</v>
      </c>
      <c r="F105" s="14" t="s">
        <v>71</v>
      </c>
      <c r="G105" s="14" t="s">
        <v>72</v>
      </c>
      <c r="H105" s="14" t="s">
        <v>19</v>
      </c>
      <c r="I105" s="14" t="s">
        <v>20</v>
      </c>
      <c r="J105" s="14" t="s">
        <v>17</v>
      </c>
      <c r="K105" s="15" t="n">
        <v>9117.543</v>
      </c>
      <c r="L105" s="16" t="n">
        <v>30966710.47</v>
      </c>
      <c r="M105" s="0" t="n">
        <v>120805</v>
      </c>
      <c r="N105" s="14" t="s">
        <v>79</v>
      </c>
      <c r="O105" s="14" t="s">
        <v>74</v>
      </c>
      <c r="P105" s="14" t="s">
        <v>74</v>
      </c>
    </row>
    <row r="106" customFormat="false" ht="28.35" hidden="false" customHeight="false" outlineLevel="0" collapsed="false">
      <c r="A106" s="0" t="n">
        <v>70032583</v>
      </c>
      <c r="B106" s="0" t="n">
        <v>1</v>
      </c>
      <c r="C106" s="13" t="n">
        <v>45791</v>
      </c>
      <c r="D106" s="0" t="n">
        <v>2025</v>
      </c>
      <c r="E106" s="14" t="s">
        <v>29</v>
      </c>
      <c r="F106" s="14" t="s">
        <v>71</v>
      </c>
      <c r="G106" s="14" t="s">
        <v>72</v>
      </c>
      <c r="H106" s="14" t="s">
        <v>30</v>
      </c>
      <c r="I106" s="14" t="s">
        <v>20</v>
      </c>
      <c r="J106" s="14" t="s">
        <v>27</v>
      </c>
      <c r="K106" s="15" t="n">
        <v>289.333</v>
      </c>
      <c r="L106" s="16" t="n">
        <v>1289712.05</v>
      </c>
      <c r="M106" s="0" t="n">
        <v>151001</v>
      </c>
      <c r="N106" s="17" t="s">
        <v>158</v>
      </c>
      <c r="O106" s="14" t="s">
        <v>74</v>
      </c>
      <c r="P106" s="14" t="s">
        <v>74</v>
      </c>
    </row>
    <row r="107" customFormat="false" ht="15" hidden="false" customHeight="false" outlineLevel="0" collapsed="false">
      <c r="A107" s="0" t="n">
        <v>70193162</v>
      </c>
      <c r="B107" s="0" t="n">
        <v>1</v>
      </c>
      <c r="C107" s="13" t="n">
        <v>45792</v>
      </c>
      <c r="D107" s="0" t="n">
        <v>2025</v>
      </c>
      <c r="E107" s="14" t="s">
        <v>29</v>
      </c>
      <c r="F107" s="14" t="s">
        <v>71</v>
      </c>
      <c r="G107" s="14" t="s">
        <v>72</v>
      </c>
      <c r="H107" s="14" t="s">
        <v>19</v>
      </c>
      <c r="I107" s="14" t="s">
        <v>20</v>
      </c>
      <c r="J107" s="14" t="s">
        <v>17</v>
      </c>
      <c r="K107" s="15" t="n">
        <v>9085.121</v>
      </c>
      <c r="L107" s="16" t="n">
        <v>29666364.69</v>
      </c>
      <c r="M107" s="0" t="n">
        <v>120805</v>
      </c>
      <c r="N107" s="14" t="s">
        <v>79</v>
      </c>
      <c r="O107" s="14" t="s">
        <v>74</v>
      </c>
      <c r="P107" s="14" t="s">
        <v>74</v>
      </c>
    </row>
    <row r="108" customFormat="false" ht="15" hidden="false" customHeight="false" outlineLevel="0" collapsed="false">
      <c r="A108" s="0" t="n">
        <v>70862353</v>
      </c>
      <c r="B108" s="0" t="n">
        <v>1</v>
      </c>
      <c r="C108" s="13" t="n">
        <v>45801</v>
      </c>
      <c r="D108" s="0" t="n">
        <v>2025</v>
      </c>
      <c r="E108" s="14" t="s">
        <v>29</v>
      </c>
      <c r="F108" s="14" t="s">
        <v>106</v>
      </c>
      <c r="G108" s="14" t="s">
        <v>107</v>
      </c>
      <c r="H108" s="14" t="s">
        <v>30</v>
      </c>
      <c r="I108" s="14" t="s">
        <v>16</v>
      </c>
      <c r="J108" s="14" t="s">
        <v>27</v>
      </c>
      <c r="K108" s="15" t="n">
        <v>1052</v>
      </c>
      <c r="L108" s="16" t="n">
        <v>480000</v>
      </c>
      <c r="M108" s="0" t="n">
        <v>150202</v>
      </c>
      <c r="N108" s="14" t="s">
        <v>139</v>
      </c>
      <c r="O108" s="14" t="s">
        <v>74</v>
      </c>
      <c r="P108" s="14" t="s">
        <v>74</v>
      </c>
    </row>
    <row r="109" customFormat="false" ht="28.35" hidden="false" customHeight="false" outlineLevel="0" collapsed="false">
      <c r="A109" s="0" t="n">
        <v>71232290</v>
      </c>
      <c r="B109" s="0" t="n">
        <v>1</v>
      </c>
      <c r="C109" s="13" t="n">
        <v>45805</v>
      </c>
      <c r="D109" s="0" t="n">
        <v>2025</v>
      </c>
      <c r="E109" s="14" t="s">
        <v>29</v>
      </c>
      <c r="F109" s="14" t="s">
        <v>71</v>
      </c>
      <c r="G109" s="14" t="s">
        <v>72</v>
      </c>
      <c r="H109" s="14" t="s">
        <v>42</v>
      </c>
      <c r="I109" s="14" t="s">
        <v>20</v>
      </c>
      <c r="J109" s="14" t="s">
        <v>27</v>
      </c>
      <c r="K109" s="15" t="n">
        <v>184.284</v>
      </c>
      <c r="L109" s="16" t="n">
        <v>924210.88</v>
      </c>
      <c r="M109" s="0" t="n">
        <v>60202</v>
      </c>
      <c r="N109" s="17" t="s">
        <v>159</v>
      </c>
      <c r="O109" s="14" t="s">
        <v>74</v>
      </c>
      <c r="P109" s="14" t="s">
        <v>74</v>
      </c>
    </row>
    <row r="110" customFormat="false" ht="15" hidden="false" customHeight="false" outlineLevel="0" collapsed="false">
      <c r="A110" s="0" t="n">
        <v>71282786</v>
      </c>
      <c r="B110" s="0" t="n">
        <v>1</v>
      </c>
      <c r="C110" s="13" t="n">
        <v>45806</v>
      </c>
      <c r="D110" s="0" t="n">
        <v>2025</v>
      </c>
      <c r="E110" s="14" t="s">
        <v>29</v>
      </c>
      <c r="F110" s="14" t="s">
        <v>71</v>
      </c>
      <c r="G110" s="14" t="s">
        <v>72</v>
      </c>
      <c r="H110" s="14" t="s">
        <v>15</v>
      </c>
      <c r="I110" s="14" t="s">
        <v>20</v>
      </c>
      <c r="J110" s="14" t="s">
        <v>21</v>
      </c>
      <c r="K110" s="15" t="n">
        <v>9447.847</v>
      </c>
      <c r="L110" s="16" t="n">
        <v>30021664.09</v>
      </c>
      <c r="M110" s="0" t="n">
        <v>190104</v>
      </c>
      <c r="N110" s="14" t="s">
        <v>160</v>
      </c>
      <c r="O110" s="14" t="s">
        <v>74</v>
      </c>
      <c r="P110" s="14" t="s">
        <v>74</v>
      </c>
    </row>
    <row r="111" customFormat="false" ht="15" hidden="false" customHeight="false" outlineLevel="0" collapsed="false">
      <c r="A111" s="0" t="n">
        <v>71282786</v>
      </c>
      <c r="B111" s="0" t="n">
        <v>2</v>
      </c>
      <c r="C111" s="13" t="n">
        <v>45806</v>
      </c>
      <c r="D111" s="0" t="n">
        <v>2025</v>
      </c>
      <c r="E111" s="14" t="s">
        <v>29</v>
      </c>
      <c r="F111" s="14" t="s">
        <v>71</v>
      </c>
      <c r="G111" s="14" t="s">
        <v>72</v>
      </c>
      <c r="H111" s="14" t="s">
        <v>15</v>
      </c>
      <c r="I111" s="14" t="s">
        <v>20</v>
      </c>
      <c r="J111" s="14" t="s">
        <v>34</v>
      </c>
      <c r="K111" s="15" t="n">
        <v>4723.924</v>
      </c>
      <c r="L111" s="16" t="n">
        <v>14828773.78</v>
      </c>
      <c r="M111" s="0" t="n">
        <v>190104</v>
      </c>
      <c r="N111" s="14" t="s">
        <v>160</v>
      </c>
      <c r="O111" s="14" t="s">
        <v>161</v>
      </c>
      <c r="P111" s="14" t="s">
        <v>74</v>
      </c>
    </row>
    <row r="112" customFormat="false" ht="28.35" hidden="false" customHeight="false" outlineLevel="0" collapsed="false">
      <c r="A112" s="0" t="n">
        <v>71559409</v>
      </c>
      <c r="B112" s="0" t="n">
        <v>1</v>
      </c>
      <c r="C112" s="13" t="n">
        <v>45810</v>
      </c>
      <c r="D112" s="0" t="n">
        <v>2025</v>
      </c>
      <c r="E112" s="14" t="s">
        <v>32</v>
      </c>
      <c r="F112" s="14" t="s">
        <v>71</v>
      </c>
      <c r="G112" s="14" t="s">
        <v>72</v>
      </c>
      <c r="H112" s="14" t="s">
        <v>39</v>
      </c>
      <c r="I112" s="14" t="s">
        <v>16</v>
      </c>
      <c r="J112" s="14" t="s">
        <v>27</v>
      </c>
      <c r="K112" s="15" t="n">
        <v>912.79</v>
      </c>
      <c r="L112" s="16" t="n">
        <v>453628.91</v>
      </c>
      <c r="M112" s="0" t="n">
        <v>131006</v>
      </c>
      <c r="N112" s="17" t="s">
        <v>162</v>
      </c>
      <c r="O112" s="14" t="s">
        <v>74</v>
      </c>
      <c r="P112" s="14" t="s">
        <v>74</v>
      </c>
    </row>
    <row r="113" customFormat="false" ht="15" hidden="false" customHeight="false" outlineLevel="0" collapsed="false">
      <c r="A113" s="0" t="n">
        <v>71664945</v>
      </c>
      <c r="B113" s="0" t="n">
        <v>1</v>
      </c>
      <c r="C113" s="13" t="n">
        <v>45811</v>
      </c>
      <c r="D113" s="0" t="n">
        <v>2025</v>
      </c>
      <c r="E113" s="14" t="s">
        <v>32</v>
      </c>
      <c r="F113" s="14" t="s">
        <v>71</v>
      </c>
      <c r="G113" s="14" t="s">
        <v>72</v>
      </c>
      <c r="H113" s="14" t="s">
        <v>36</v>
      </c>
      <c r="I113" s="14" t="s">
        <v>20</v>
      </c>
      <c r="J113" s="14" t="s">
        <v>27</v>
      </c>
      <c r="K113" s="15" t="n">
        <v>823.403</v>
      </c>
      <c r="L113" s="16" t="n">
        <v>2002913.4</v>
      </c>
      <c r="M113" s="0" t="n">
        <v>20106</v>
      </c>
      <c r="N113" s="14" t="s">
        <v>163</v>
      </c>
      <c r="O113" s="14" t="s">
        <v>74</v>
      </c>
      <c r="P113" s="14" t="s">
        <v>74</v>
      </c>
    </row>
    <row r="114" customFormat="false" ht="15" hidden="false" customHeight="false" outlineLevel="0" collapsed="false">
      <c r="A114" s="0" t="n">
        <v>71638722</v>
      </c>
      <c r="B114" s="0" t="n">
        <v>1</v>
      </c>
      <c r="C114" s="13" t="n">
        <v>45810</v>
      </c>
      <c r="D114" s="0" t="n">
        <v>2025</v>
      </c>
      <c r="E114" s="14" t="s">
        <v>32</v>
      </c>
      <c r="F114" s="14" t="s">
        <v>71</v>
      </c>
      <c r="G114" s="14" t="s">
        <v>72</v>
      </c>
      <c r="H114" s="14" t="s">
        <v>30</v>
      </c>
      <c r="I114" s="14" t="s">
        <v>20</v>
      </c>
      <c r="J114" s="14" t="s">
        <v>27</v>
      </c>
      <c r="K114" s="15" t="n">
        <v>870.77</v>
      </c>
      <c r="L114" s="16" t="n">
        <v>400000</v>
      </c>
      <c r="M114" s="0" t="n">
        <v>150202</v>
      </c>
      <c r="N114" s="14" t="s">
        <v>164</v>
      </c>
      <c r="O114" s="14" t="s">
        <v>74</v>
      </c>
      <c r="P114" s="14" t="s">
        <v>74</v>
      </c>
    </row>
    <row r="115" customFormat="false" ht="15" hidden="false" customHeight="false" outlineLevel="0" collapsed="false">
      <c r="A115" s="0" t="n">
        <v>71864651</v>
      </c>
      <c r="B115" s="0" t="n">
        <v>1</v>
      </c>
      <c r="C115" s="13" t="n">
        <v>45813</v>
      </c>
      <c r="D115" s="0" t="n">
        <v>2025</v>
      </c>
      <c r="E115" s="14" t="s">
        <v>32</v>
      </c>
      <c r="F115" s="14" t="s">
        <v>106</v>
      </c>
      <c r="G115" s="14" t="s">
        <v>107</v>
      </c>
      <c r="H115" s="14" t="s">
        <v>30</v>
      </c>
      <c r="I115" s="14" t="s">
        <v>16</v>
      </c>
      <c r="J115" s="14" t="s">
        <v>27</v>
      </c>
      <c r="K115" s="15" t="n">
        <v>792</v>
      </c>
      <c r="L115" s="16" t="n">
        <v>390000</v>
      </c>
      <c r="M115" s="0" t="n">
        <v>150202</v>
      </c>
      <c r="N115" s="14" t="s">
        <v>139</v>
      </c>
      <c r="O115" s="14" t="s">
        <v>74</v>
      </c>
      <c r="P115" s="14" t="s">
        <v>74</v>
      </c>
    </row>
    <row r="116" customFormat="false" ht="15" hidden="false" customHeight="false" outlineLevel="0" collapsed="false">
      <c r="A116" s="0" t="n">
        <v>72520004</v>
      </c>
      <c r="B116" s="0" t="n">
        <v>1</v>
      </c>
      <c r="C116" s="13" t="n">
        <v>45820</v>
      </c>
      <c r="D116" s="0" t="n">
        <v>2025</v>
      </c>
      <c r="E116" s="14" t="s">
        <v>32</v>
      </c>
      <c r="F116" s="14" t="s">
        <v>106</v>
      </c>
      <c r="G116" s="14" t="s">
        <v>107</v>
      </c>
      <c r="H116" s="14" t="s">
        <v>30</v>
      </c>
      <c r="I116" s="14" t="s">
        <v>16</v>
      </c>
      <c r="J116" s="14" t="s">
        <v>27</v>
      </c>
      <c r="K116" s="15" t="n">
        <v>712.8</v>
      </c>
      <c r="L116" s="16" t="n">
        <v>330000</v>
      </c>
      <c r="M116" s="0" t="n">
        <v>150202</v>
      </c>
      <c r="N116" s="14" t="s">
        <v>139</v>
      </c>
      <c r="O116" s="14" t="s">
        <v>74</v>
      </c>
      <c r="P116" s="14" t="s">
        <v>74</v>
      </c>
    </row>
    <row r="117" customFormat="false" ht="15" hidden="false" customHeight="false" outlineLevel="0" collapsed="false">
      <c r="A117" s="0" t="n">
        <v>72459946</v>
      </c>
      <c r="B117" s="0" t="n">
        <v>1</v>
      </c>
      <c r="C117" s="13" t="n">
        <v>45819</v>
      </c>
      <c r="D117" s="0" t="n">
        <v>2025</v>
      </c>
      <c r="E117" s="14" t="s">
        <v>32</v>
      </c>
      <c r="F117" s="14" t="s">
        <v>71</v>
      </c>
      <c r="G117" s="14" t="s">
        <v>72</v>
      </c>
      <c r="H117" s="14" t="s">
        <v>15</v>
      </c>
      <c r="I117" s="14" t="s">
        <v>20</v>
      </c>
      <c r="J117" s="14" t="s">
        <v>21</v>
      </c>
      <c r="K117" s="15" t="n">
        <v>10953.067</v>
      </c>
      <c r="L117" s="16" t="n">
        <v>35906900.62</v>
      </c>
      <c r="M117" s="0" t="n">
        <v>190104</v>
      </c>
      <c r="N117" s="14" t="s">
        <v>165</v>
      </c>
      <c r="O117" s="14" t="s">
        <v>74</v>
      </c>
      <c r="P117" s="14" t="s">
        <v>74</v>
      </c>
    </row>
    <row r="118" customFormat="false" ht="15" hidden="false" customHeight="false" outlineLevel="0" collapsed="false">
      <c r="A118" s="0" t="n">
        <v>72611248</v>
      </c>
      <c r="B118" s="0" t="n">
        <v>1</v>
      </c>
      <c r="C118" s="13" t="n">
        <v>45821</v>
      </c>
      <c r="D118" s="0" t="n">
        <v>2025</v>
      </c>
      <c r="E118" s="14" t="s">
        <v>32</v>
      </c>
      <c r="F118" s="14" t="s">
        <v>71</v>
      </c>
      <c r="G118" s="14" t="s">
        <v>72</v>
      </c>
      <c r="H118" s="14" t="s">
        <v>19</v>
      </c>
      <c r="I118" s="14" t="s">
        <v>20</v>
      </c>
      <c r="J118" s="14" t="s">
        <v>17</v>
      </c>
      <c r="K118" s="15" t="n">
        <v>10938.479</v>
      </c>
      <c r="L118" s="16" t="n">
        <v>36530794.38</v>
      </c>
      <c r="M118" s="0" t="n">
        <v>120805</v>
      </c>
      <c r="N118" s="14" t="s">
        <v>79</v>
      </c>
      <c r="O118" s="14" t="s">
        <v>74</v>
      </c>
      <c r="P118" s="14" t="s">
        <v>74</v>
      </c>
    </row>
    <row r="119" customFormat="false" ht="15" hidden="false" customHeight="false" outlineLevel="0" collapsed="false">
      <c r="A119" s="0" t="n">
        <v>73744331</v>
      </c>
      <c r="B119" s="0" t="n">
        <v>1</v>
      </c>
      <c r="C119" s="13" t="n">
        <v>45833</v>
      </c>
      <c r="D119" s="0" t="n">
        <v>2025</v>
      </c>
      <c r="E119" s="14" t="s">
        <v>32</v>
      </c>
      <c r="F119" s="14" t="s">
        <v>71</v>
      </c>
      <c r="G119" s="14" t="s">
        <v>72</v>
      </c>
      <c r="H119" s="14" t="s">
        <v>19</v>
      </c>
      <c r="I119" s="14" t="s">
        <v>20</v>
      </c>
      <c r="J119" s="14" t="s">
        <v>17</v>
      </c>
      <c r="K119" s="15" t="n">
        <v>9095.637</v>
      </c>
      <c r="L119" s="16" t="n">
        <v>31250313.57</v>
      </c>
      <c r="M119" s="0" t="n">
        <v>120805</v>
      </c>
      <c r="N119" s="14" t="s">
        <v>79</v>
      </c>
      <c r="O119" s="14" t="s">
        <v>74</v>
      </c>
      <c r="P119" s="14" t="s">
        <v>74</v>
      </c>
    </row>
    <row r="120" customFormat="false" ht="28.35" hidden="false" customHeight="false" outlineLevel="0" collapsed="false">
      <c r="A120" s="0" t="n">
        <v>74860263</v>
      </c>
      <c r="B120" s="0" t="n">
        <v>1</v>
      </c>
      <c r="C120" s="13" t="n">
        <v>45845</v>
      </c>
      <c r="D120" s="0" t="n">
        <v>2025</v>
      </c>
      <c r="E120" s="14" t="s">
        <v>35</v>
      </c>
      <c r="F120" s="14" t="s">
        <v>71</v>
      </c>
      <c r="G120" s="14" t="s">
        <v>72</v>
      </c>
      <c r="H120" s="14" t="s">
        <v>42</v>
      </c>
      <c r="I120" s="14" t="s">
        <v>20</v>
      </c>
      <c r="J120" s="14" t="s">
        <v>27</v>
      </c>
      <c r="K120" s="15" t="n">
        <v>25.957</v>
      </c>
      <c r="L120" s="16" t="n">
        <v>275442.36</v>
      </c>
      <c r="M120" s="0" t="n">
        <v>60202</v>
      </c>
      <c r="N120" s="17" t="s">
        <v>166</v>
      </c>
      <c r="O120" s="14" t="s">
        <v>74</v>
      </c>
      <c r="P120" s="14" t="s">
        <v>74</v>
      </c>
    </row>
    <row r="121" customFormat="false" ht="28.35" hidden="false" customHeight="false" outlineLevel="0" collapsed="false">
      <c r="A121" s="0" t="n">
        <v>75535157</v>
      </c>
      <c r="B121" s="0" t="n">
        <v>1</v>
      </c>
      <c r="C121" s="13" t="n">
        <v>45852</v>
      </c>
      <c r="D121" s="0" t="n">
        <v>2025</v>
      </c>
      <c r="E121" s="14" t="s">
        <v>35</v>
      </c>
      <c r="F121" s="14" t="s">
        <v>71</v>
      </c>
      <c r="G121" s="14" t="s">
        <v>72</v>
      </c>
      <c r="H121" s="14" t="s">
        <v>30</v>
      </c>
      <c r="I121" s="14" t="s">
        <v>20</v>
      </c>
      <c r="J121" s="14" t="s">
        <v>27</v>
      </c>
      <c r="K121" s="15" t="n">
        <v>77.89</v>
      </c>
      <c r="L121" s="16" t="n">
        <v>815704.42</v>
      </c>
      <c r="M121" s="0" t="n">
        <v>150705</v>
      </c>
      <c r="N121" s="17" t="s">
        <v>167</v>
      </c>
      <c r="O121" s="14" t="s">
        <v>74</v>
      </c>
      <c r="P121" s="14" t="s">
        <v>74</v>
      </c>
    </row>
    <row r="122" customFormat="false" ht="15" hidden="false" customHeight="false" outlineLevel="0" collapsed="false">
      <c r="A122" s="0" t="n">
        <v>76390070</v>
      </c>
      <c r="B122" s="0" t="n">
        <v>1</v>
      </c>
      <c r="C122" s="13" t="n">
        <v>45860</v>
      </c>
      <c r="D122" s="0" t="n">
        <v>2025</v>
      </c>
      <c r="E122" s="14" t="s">
        <v>35</v>
      </c>
      <c r="F122" s="14" t="s">
        <v>106</v>
      </c>
      <c r="G122" s="14" t="s">
        <v>107</v>
      </c>
      <c r="H122" s="14" t="s">
        <v>30</v>
      </c>
      <c r="I122" s="14" t="s">
        <v>16</v>
      </c>
      <c r="J122" s="14" t="s">
        <v>27</v>
      </c>
      <c r="K122" s="15" t="n">
        <v>871.2</v>
      </c>
      <c r="L122" s="16" t="n">
        <v>420000</v>
      </c>
      <c r="M122" s="0" t="n">
        <v>150202</v>
      </c>
      <c r="N122" s="14" t="s">
        <v>116</v>
      </c>
      <c r="O122" s="14" t="s">
        <v>74</v>
      </c>
      <c r="P122" s="14" t="s">
        <v>74</v>
      </c>
    </row>
    <row r="123" customFormat="false" ht="28.35" hidden="false" customHeight="false" outlineLevel="0" collapsed="false">
      <c r="A123" s="0" t="n">
        <v>76454087</v>
      </c>
      <c r="B123" s="0" t="n">
        <v>1</v>
      </c>
      <c r="C123" s="13" t="n">
        <v>45861</v>
      </c>
      <c r="D123" s="0" t="n">
        <v>2025</v>
      </c>
      <c r="E123" s="14" t="s">
        <v>35</v>
      </c>
      <c r="F123" s="14" t="s">
        <v>71</v>
      </c>
      <c r="G123" s="14" t="s">
        <v>72</v>
      </c>
      <c r="H123" s="14" t="s">
        <v>23</v>
      </c>
      <c r="I123" s="14" t="s">
        <v>20</v>
      </c>
      <c r="J123" s="14" t="s">
        <v>27</v>
      </c>
      <c r="K123" s="15" t="n">
        <v>1416.798</v>
      </c>
      <c r="L123" s="16" t="n">
        <v>3408510.96</v>
      </c>
      <c r="M123" s="0" t="n">
        <v>110304</v>
      </c>
      <c r="N123" s="17" t="s">
        <v>168</v>
      </c>
      <c r="O123" s="14" t="s">
        <v>74</v>
      </c>
      <c r="P123" s="14" t="s">
        <v>74</v>
      </c>
    </row>
    <row r="124" customFormat="false" ht="15" hidden="false" customHeight="false" outlineLevel="0" collapsed="false">
      <c r="A124" s="0" t="n">
        <v>77697478</v>
      </c>
      <c r="B124" s="0" t="n">
        <v>1</v>
      </c>
      <c r="C124" s="13" t="n">
        <v>45873</v>
      </c>
      <c r="D124" s="0" t="n">
        <v>2025</v>
      </c>
      <c r="E124" s="14" t="s">
        <v>38</v>
      </c>
      <c r="F124" s="14" t="s">
        <v>71</v>
      </c>
      <c r="G124" s="14" t="s">
        <v>72</v>
      </c>
      <c r="H124" s="14" t="s">
        <v>30</v>
      </c>
      <c r="I124" s="14" t="s">
        <v>16</v>
      </c>
      <c r="J124" s="14" t="s">
        <v>27</v>
      </c>
      <c r="K124" s="15" t="n">
        <v>887.535</v>
      </c>
      <c r="L124" s="16" t="n">
        <v>458766.84</v>
      </c>
      <c r="M124" s="0" t="n">
        <v>150202</v>
      </c>
      <c r="N124" s="14" t="s">
        <v>116</v>
      </c>
      <c r="O124" s="14" t="s">
        <v>74</v>
      </c>
      <c r="P124" s="14" t="s">
        <v>74</v>
      </c>
    </row>
    <row r="125" customFormat="false" ht="15" hidden="false" customHeight="false" outlineLevel="0" collapsed="false">
      <c r="A125" s="0" t="n">
        <v>78472727</v>
      </c>
      <c r="B125" s="0" t="n">
        <v>1</v>
      </c>
      <c r="C125" s="13" t="n">
        <v>45880</v>
      </c>
      <c r="D125" s="0" t="n">
        <v>2025</v>
      </c>
      <c r="E125" s="14" t="s">
        <v>38</v>
      </c>
      <c r="F125" s="14" t="s">
        <v>71</v>
      </c>
      <c r="G125" s="14" t="s">
        <v>72</v>
      </c>
      <c r="H125" s="14" t="s">
        <v>15</v>
      </c>
      <c r="I125" s="14" t="s">
        <v>20</v>
      </c>
      <c r="J125" s="14" t="s">
        <v>17</v>
      </c>
      <c r="K125" s="15" t="n">
        <v>10937.07</v>
      </c>
      <c r="L125" s="16" t="n">
        <v>33723227.6</v>
      </c>
      <c r="M125" s="0" t="n">
        <v>190101</v>
      </c>
      <c r="N125" s="14" t="s">
        <v>79</v>
      </c>
      <c r="O125" s="14" t="s">
        <v>74</v>
      </c>
      <c r="P125" s="14" t="s">
        <v>74</v>
      </c>
    </row>
    <row r="126" customFormat="false" ht="28.35" hidden="false" customHeight="false" outlineLevel="0" collapsed="false">
      <c r="A126" s="0" t="n">
        <v>78701671</v>
      </c>
      <c r="B126" s="0" t="n">
        <v>1</v>
      </c>
      <c r="C126" s="13" t="n">
        <v>45882</v>
      </c>
      <c r="D126" s="0" t="n">
        <v>2025</v>
      </c>
      <c r="E126" s="14" t="s">
        <v>38</v>
      </c>
      <c r="F126" s="14" t="s">
        <v>71</v>
      </c>
      <c r="G126" s="14" t="s">
        <v>72</v>
      </c>
      <c r="H126" s="14" t="s">
        <v>44</v>
      </c>
      <c r="I126" s="14" t="s">
        <v>20</v>
      </c>
      <c r="J126" s="14" t="s">
        <v>27</v>
      </c>
      <c r="K126" s="15" t="n">
        <v>631.149</v>
      </c>
      <c r="L126" s="16" t="n">
        <v>1262438.01</v>
      </c>
      <c r="M126" s="0" t="n">
        <v>200210</v>
      </c>
      <c r="N126" s="17" t="s">
        <v>169</v>
      </c>
      <c r="O126" s="14" t="s">
        <v>74</v>
      </c>
      <c r="P126" s="14" t="s">
        <v>74</v>
      </c>
    </row>
    <row r="127" customFormat="false" ht="15" hidden="false" customHeight="false" outlineLevel="0" collapsed="false">
      <c r="A127" s="0" t="n">
        <v>78875368</v>
      </c>
      <c r="B127" s="0" t="n">
        <v>1</v>
      </c>
      <c r="C127" s="13" t="n">
        <v>45883</v>
      </c>
      <c r="D127" s="0" t="n">
        <v>2025</v>
      </c>
      <c r="E127" s="14" t="s">
        <v>38</v>
      </c>
      <c r="F127" s="14" t="s">
        <v>71</v>
      </c>
      <c r="G127" s="14" t="s">
        <v>72</v>
      </c>
      <c r="H127" s="14" t="s">
        <v>15</v>
      </c>
      <c r="I127" s="14" t="s">
        <v>20</v>
      </c>
      <c r="J127" s="14" t="s">
        <v>17</v>
      </c>
      <c r="K127" s="15" t="n">
        <v>9624.447</v>
      </c>
      <c r="L127" s="16" t="n">
        <v>31217132.22</v>
      </c>
      <c r="M127" s="0" t="n">
        <v>190101</v>
      </c>
      <c r="N127" s="14" t="s">
        <v>170</v>
      </c>
      <c r="O127" s="14" t="s">
        <v>74</v>
      </c>
      <c r="P127" s="14" t="s">
        <v>74</v>
      </c>
    </row>
    <row r="128" customFormat="false" ht="15" hidden="false" customHeight="false" outlineLevel="0" collapsed="false">
      <c r="A128" s="0" t="n">
        <v>79011731</v>
      </c>
      <c r="B128" s="0" t="n">
        <v>1</v>
      </c>
      <c r="C128" s="13" t="n">
        <v>45884</v>
      </c>
      <c r="D128" s="0" t="n">
        <v>2025</v>
      </c>
      <c r="E128" s="14" t="s">
        <v>38</v>
      </c>
      <c r="F128" s="14" t="s">
        <v>71</v>
      </c>
      <c r="G128" s="14" t="s">
        <v>72</v>
      </c>
      <c r="H128" s="14" t="s">
        <v>30</v>
      </c>
      <c r="I128" s="14" t="s">
        <v>16</v>
      </c>
      <c r="J128" s="14" t="s">
        <v>27</v>
      </c>
      <c r="K128" s="15" t="n">
        <v>901.291</v>
      </c>
      <c r="L128" s="16" t="n">
        <v>506534.55</v>
      </c>
      <c r="M128" s="0" t="n">
        <v>150202</v>
      </c>
      <c r="N128" s="14" t="s">
        <v>116</v>
      </c>
      <c r="O128" s="14" t="s">
        <v>74</v>
      </c>
      <c r="P128" s="14" t="s">
        <v>74</v>
      </c>
    </row>
    <row r="129" customFormat="false" ht="15" hidden="false" customHeight="false" outlineLevel="0" collapsed="false">
      <c r="A129" s="0" t="n">
        <v>79275607</v>
      </c>
      <c r="B129" s="0" t="n">
        <v>1</v>
      </c>
      <c r="C129" s="13" t="n">
        <v>45888</v>
      </c>
      <c r="D129" s="0" t="n">
        <v>2025</v>
      </c>
      <c r="E129" s="14" t="s">
        <v>38</v>
      </c>
      <c r="F129" s="14" t="s">
        <v>71</v>
      </c>
      <c r="G129" s="14" t="s">
        <v>72</v>
      </c>
      <c r="H129" s="14" t="s">
        <v>15</v>
      </c>
      <c r="I129" s="14" t="s">
        <v>20</v>
      </c>
      <c r="J129" s="14" t="s">
        <v>17</v>
      </c>
      <c r="K129" s="15" t="n">
        <v>10936.188</v>
      </c>
      <c r="L129" s="16" t="n">
        <v>33780292.73</v>
      </c>
      <c r="M129" s="0" t="n">
        <v>190101</v>
      </c>
      <c r="N129" s="14" t="s">
        <v>79</v>
      </c>
      <c r="O129" s="14" t="s">
        <v>74</v>
      </c>
      <c r="P129" s="14" t="s">
        <v>74</v>
      </c>
    </row>
    <row r="130" customFormat="false" ht="15" hidden="false" customHeight="false" outlineLevel="0" collapsed="false">
      <c r="A130" s="0" t="n">
        <v>79658356</v>
      </c>
      <c r="B130" s="0" t="n">
        <v>1</v>
      </c>
      <c r="C130" s="13" t="n">
        <v>45891</v>
      </c>
      <c r="D130" s="0" t="n">
        <v>2025</v>
      </c>
      <c r="E130" s="14" t="s">
        <v>38</v>
      </c>
      <c r="F130" s="14" t="s">
        <v>71</v>
      </c>
      <c r="G130" s="14" t="s">
        <v>72</v>
      </c>
      <c r="H130" s="14" t="s">
        <v>30</v>
      </c>
      <c r="I130" s="14" t="s">
        <v>20</v>
      </c>
      <c r="J130" s="14" t="s">
        <v>27</v>
      </c>
      <c r="K130" s="15" t="n">
        <v>935.53</v>
      </c>
      <c r="L130" s="16" t="n">
        <v>450000</v>
      </c>
      <c r="M130" s="0" t="n">
        <v>150202</v>
      </c>
      <c r="N130" s="14" t="s">
        <v>171</v>
      </c>
      <c r="O130" s="14" t="s">
        <v>74</v>
      </c>
      <c r="P130" s="14" t="s">
        <v>74</v>
      </c>
    </row>
    <row r="131" customFormat="false" ht="15" hidden="false" customHeight="false" outlineLevel="0" collapsed="false">
      <c r="A131" s="0" t="n">
        <v>79727356</v>
      </c>
      <c r="B131" s="0" t="n">
        <v>1</v>
      </c>
      <c r="C131" s="13" t="n">
        <v>45892</v>
      </c>
      <c r="D131" s="0" t="n">
        <v>2025</v>
      </c>
      <c r="E131" s="14" t="s">
        <v>38</v>
      </c>
      <c r="F131" s="14" t="s">
        <v>103</v>
      </c>
      <c r="G131" s="14" t="s">
        <v>104</v>
      </c>
      <c r="H131" s="14" t="s">
        <v>85</v>
      </c>
      <c r="I131" s="14" t="s">
        <v>20</v>
      </c>
      <c r="J131" s="14" t="s">
        <v>40</v>
      </c>
      <c r="K131" s="15" t="n">
        <v>18.99</v>
      </c>
      <c r="L131" s="16" t="n">
        <v>7831.59</v>
      </c>
      <c r="M131" s="0" t="n">
        <v>80801</v>
      </c>
      <c r="N131" s="14" t="s">
        <v>172</v>
      </c>
      <c r="O131" s="14" t="s">
        <v>74</v>
      </c>
      <c r="P131" s="14" t="s">
        <v>74</v>
      </c>
    </row>
    <row r="132" customFormat="false" ht="28.35" hidden="false" customHeight="false" outlineLevel="0" collapsed="false">
      <c r="A132" s="0" t="n">
        <v>80428937</v>
      </c>
      <c r="B132" s="0" t="n">
        <v>1</v>
      </c>
      <c r="C132" s="13" t="n">
        <v>45898</v>
      </c>
      <c r="D132" s="0" t="n">
        <v>2025</v>
      </c>
      <c r="E132" s="14" t="s">
        <v>38</v>
      </c>
      <c r="F132" s="14" t="s">
        <v>71</v>
      </c>
      <c r="G132" s="14" t="s">
        <v>72</v>
      </c>
      <c r="H132" s="14" t="s">
        <v>42</v>
      </c>
      <c r="I132" s="14" t="s">
        <v>20</v>
      </c>
      <c r="J132" s="14" t="s">
        <v>27</v>
      </c>
      <c r="K132" s="15" t="n">
        <v>311.058</v>
      </c>
      <c r="L132" s="16" t="n">
        <v>1312640.12</v>
      </c>
      <c r="M132" s="0" t="n">
        <v>60202</v>
      </c>
      <c r="N132" s="17" t="s">
        <v>173</v>
      </c>
      <c r="O132" s="14" t="s">
        <v>74</v>
      </c>
      <c r="P132" s="14" t="s">
        <v>74</v>
      </c>
    </row>
    <row r="133" customFormat="false" ht="15" hidden="false" customHeight="false" outlineLevel="0" collapsed="false">
      <c r="A133" s="0" t="n">
        <v>82157320</v>
      </c>
      <c r="B133" s="0" t="n">
        <v>1</v>
      </c>
      <c r="C133" s="13" t="n">
        <v>45916</v>
      </c>
      <c r="D133" s="0" t="n">
        <v>2025</v>
      </c>
      <c r="E133" s="14" t="s">
        <v>41</v>
      </c>
      <c r="F133" s="14" t="s">
        <v>71</v>
      </c>
      <c r="G133" s="14" t="s">
        <v>72</v>
      </c>
      <c r="H133" s="14" t="s">
        <v>30</v>
      </c>
      <c r="I133" s="14" t="s">
        <v>16</v>
      </c>
      <c r="J133" s="14" t="s">
        <v>27</v>
      </c>
      <c r="K133" s="15" t="n">
        <v>898.054</v>
      </c>
      <c r="L133" s="16" t="n">
        <v>465784.69</v>
      </c>
      <c r="M133" s="0" t="n">
        <v>150202</v>
      </c>
      <c r="N133" s="14" t="s">
        <v>148</v>
      </c>
      <c r="O133" s="14" t="s">
        <v>74</v>
      </c>
      <c r="P133" s="14" t="s">
        <v>74</v>
      </c>
    </row>
    <row r="134" customFormat="false" ht="15" hidden="false" customHeight="false" outlineLevel="0" collapsed="false">
      <c r="A134" s="0" t="n">
        <v>83005263</v>
      </c>
      <c r="B134" s="0" t="n">
        <v>1</v>
      </c>
      <c r="C134" s="13" t="n">
        <v>45924</v>
      </c>
      <c r="D134" s="0" t="n">
        <v>2025</v>
      </c>
      <c r="E134" s="14" t="s">
        <v>41</v>
      </c>
      <c r="F134" s="14" t="s">
        <v>71</v>
      </c>
      <c r="G134" s="14" t="s">
        <v>72</v>
      </c>
      <c r="H134" s="14" t="s">
        <v>36</v>
      </c>
      <c r="I134" s="14" t="s">
        <v>20</v>
      </c>
      <c r="J134" s="14" t="s">
        <v>27</v>
      </c>
      <c r="K134" s="15" t="n">
        <v>495.488</v>
      </c>
      <c r="L134" s="16" t="n">
        <v>1381465.47</v>
      </c>
      <c r="M134" s="0" t="n">
        <v>20106</v>
      </c>
      <c r="N134" s="14" t="s">
        <v>174</v>
      </c>
      <c r="O134" s="14" t="s">
        <v>74</v>
      </c>
      <c r="P134" s="14" t="s">
        <v>74</v>
      </c>
    </row>
    <row r="135" customFormat="false" ht="15" hidden="false" customHeight="false" outlineLevel="0" collapsed="false">
      <c r="A135" s="0" t="n">
        <v>83088933</v>
      </c>
      <c r="B135" s="0" t="n">
        <v>1</v>
      </c>
      <c r="C135" s="13" t="n">
        <v>45924</v>
      </c>
      <c r="D135" s="0" t="n">
        <v>2025</v>
      </c>
      <c r="E135" s="14" t="s">
        <v>41</v>
      </c>
      <c r="F135" s="14" t="s">
        <v>71</v>
      </c>
      <c r="G135" s="14" t="s">
        <v>72</v>
      </c>
      <c r="H135" s="14" t="s">
        <v>30</v>
      </c>
      <c r="I135" s="14" t="s">
        <v>16</v>
      </c>
      <c r="J135" s="14" t="s">
        <v>27</v>
      </c>
      <c r="K135" s="15" t="n">
        <v>889.428</v>
      </c>
      <c r="L135" s="16" t="n">
        <v>496934.36</v>
      </c>
      <c r="M135" s="0" t="n">
        <v>150202</v>
      </c>
      <c r="N135" s="14" t="s">
        <v>148</v>
      </c>
      <c r="O135" s="14" t="s">
        <v>74</v>
      </c>
      <c r="P135" s="14" t="s">
        <v>74</v>
      </c>
    </row>
    <row r="136" customFormat="false" ht="15" hidden="false" customHeight="false" outlineLevel="0" collapsed="false">
      <c r="A136" s="0" t="n">
        <v>83913466</v>
      </c>
      <c r="B136" s="0" t="n">
        <v>1</v>
      </c>
      <c r="C136" s="13" t="n">
        <v>45933</v>
      </c>
      <c r="D136" s="0" t="n">
        <v>2025</v>
      </c>
      <c r="E136" s="14" t="s">
        <v>43</v>
      </c>
      <c r="F136" s="14" t="s">
        <v>71</v>
      </c>
      <c r="G136" s="14" t="s">
        <v>72</v>
      </c>
      <c r="H136" s="14" t="s">
        <v>15</v>
      </c>
      <c r="I136" s="14" t="s">
        <v>20</v>
      </c>
      <c r="J136" s="14" t="s">
        <v>17</v>
      </c>
      <c r="K136" s="15" t="n">
        <v>11390.77</v>
      </c>
      <c r="L136" s="16" t="n">
        <v>36862311.99</v>
      </c>
      <c r="M136" s="0" t="n">
        <v>190101</v>
      </c>
      <c r="N136" s="14" t="s">
        <v>79</v>
      </c>
      <c r="O136" s="14" t="s">
        <v>74</v>
      </c>
      <c r="P136" s="14" t="s">
        <v>74</v>
      </c>
    </row>
    <row r="137" customFormat="false" ht="15" hidden="false" customHeight="false" outlineLevel="0" collapsed="false">
      <c r="A137" s="0" t="n">
        <v>84202816</v>
      </c>
      <c r="B137" s="0" t="n">
        <v>1</v>
      </c>
      <c r="C137" s="13" t="n">
        <v>45936</v>
      </c>
      <c r="D137" s="0" t="n">
        <v>2025</v>
      </c>
      <c r="E137" s="14" t="s">
        <v>43</v>
      </c>
      <c r="F137" s="14" t="s">
        <v>71</v>
      </c>
      <c r="G137" s="14" t="s">
        <v>72</v>
      </c>
      <c r="H137" s="14" t="s">
        <v>19</v>
      </c>
      <c r="I137" s="14" t="s">
        <v>20</v>
      </c>
      <c r="J137" s="14" t="s">
        <v>17</v>
      </c>
      <c r="K137" s="15" t="n">
        <v>9089.866</v>
      </c>
      <c r="L137" s="16" t="n">
        <v>28359403.34</v>
      </c>
      <c r="M137" s="0" t="n">
        <v>120805</v>
      </c>
      <c r="N137" s="14" t="s">
        <v>79</v>
      </c>
      <c r="O137" s="14" t="s">
        <v>74</v>
      </c>
      <c r="P137" s="14" t="s">
        <v>74</v>
      </c>
    </row>
    <row r="138" customFormat="false" ht="15" hidden="false" customHeight="false" outlineLevel="0" collapsed="false">
      <c r="A138" s="0" t="n">
        <v>85085072</v>
      </c>
      <c r="B138" s="0" t="n">
        <v>1</v>
      </c>
      <c r="C138" s="13" t="n">
        <v>45944</v>
      </c>
      <c r="D138" s="0" t="n">
        <v>2025</v>
      </c>
      <c r="E138" s="14" t="s">
        <v>43</v>
      </c>
      <c r="F138" s="14" t="s">
        <v>71</v>
      </c>
      <c r="G138" s="14" t="s">
        <v>72</v>
      </c>
      <c r="H138" s="14" t="s">
        <v>30</v>
      </c>
      <c r="I138" s="14" t="s">
        <v>20</v>
      </c>
      <c r="J138" s="14" t="s">
        <v>31</v>
      </c>
      <c r="K138" s="15" t="n">
        <v>22.942</v>
      </c>
      <c r="L138" s="16" t="n">
        <v>135311.92</v>
      </c>
      <c r="M138" s="0" t="n">
        <v>150125</v>
      </c>
      <c r="N138" s="14" t="s">
        <v>175</v>
      </c>
      <c r="O138" s="14" t="s">
        <v>74</v>
      </c>
      <c r="P138" s="14" t="s">
        <v>74</v>
      </c>
    </row>
    <row r="139" customFormat="false" ht="15" hidden="false" customHeight="false" outlineLevel="0" collapsed="false">
      <c r="A139" s="0" t="n">
        <v>85208569</v>
      </c>
      <c r="B139" s="0" t="n">
        <v>1</v>
      </c>
      <c r="C139" s="13" t="n">
        <v>45945</v>
      </c>
      <c r="D139" s="0" t="n">
        <v>2025</v>
      </c>
      <c r="E139" s="14" t="s">
        <v>43</v>
      </c>
      <c r="F139" s="14" t="s">
        <v>71</v>
      </c>
      <c r="G139" s="14" t="s">
        <v>72</v>
      </c>
      <c r="H139" s="14" t="s">
        <v>30</v>
      </c>
      <c r="I139" s="14" t="s">
        <v>20</v>
      </c>
      <c r="J139" s="14" t="s">
        <v>27</v>
      </c>
      <c r="K139" s="15" t="n">
        <v>912.394</v>
      </c>
      <c r="L139" s="16" t="n">
        <v>479326.19</v>
      </c>
      <c r="M139" s="0" t="n">
        <v>150202</v>
      </c>
      <c r="N139" s="14" t="s">
        <v>176</v>
      </c>
      <c r="O139" s="14" t="s">
        <v>74</v>
      </c>
      <c r="P139" s="14" t="s">
        <v>74</v>
      </c>
    </row>
    <row r="140" customFormat="false" ht="15" hidden="false" customHeight="false" outlineLevel="0" collapsed="false">
      <c r="A140" s="0" t="n">
        <v>87678310</v>
      </c>
      <c r="B140" s="0" t="n">
        <v>1</v>
      </c>
      <c r="C140" s="13" t="n">
        <v>45966</v>
      </c>
      <c r="D140" s="0" t="n">
        <v>2025</v>
      </c>
      <c r="E140" s="14" t="s">
        <v>45</v>
      </c>
      <c r="F140" s="14" t="s">
        <v>71</v>
      </c>
      <c r="G140" s="14" t="s">
        <v>72</v>
      </c>
      <c r="H140" s="14" t="s">
        <v>23</v>
      </c>
      <c r="I140" s="14" t="s">
        <v>20</v>
      </c>
      <c r="J140" s="14" t="s">
        <v>27</v>
      </c>
      <c r="K140" s="15" t="n">
        <v>324.069</v>
      </c>
      <c r="L140" s="16" t="n">
        <v>1471373.84</v>
      </c>
      <c r="M140" s="0" t="n">
        <v>110304</v>
      </c>
      <c r="N140" s="14" t="s">
        <v>177</v>
      </c>
      <c r="O140" s="14" t="s">
        <v>74</v>
      </c>
      <c r="P140" s="14" t="s">
        <v>74</v>
      </c>
    </row>
    <row r="141" customFormat="false" ht="15" hidden="false" customHeight="false" outlineLevel="0" collapsed="false">
      <c r="A141" s="0" t="n">
        <v>88213778</v>
      </c>
      <c r="B141" s="0" t="n">
        <v>1</v>
      </c>
      <c r="C141" s="13" t="n">
        <v>45971</v>
      </c>
      <c r="D141" s="0" t="n">
        <v>2025</v>
      </c>
      <c r="E141" s="14" t="s">
        <v>45</v>
      </c>
      <c r="F141" s="14" t="s">
        <v>71</v>
      </c>
      <c r="G141" s="14" t="s">
        <v>72</v>
      </c>
      <c r="H141" s="14" t="s">
        <v>15</v>
      </c>
      <c r="I141" s="14" t="s">
        <v>20</v>
      </c>
      <c r="J141" s="14" t="s">
        <v>27</v>
      </c>
      <c r="K141" s="15" t="n">
        <v>1442.555</v>
      </c>
      <c r="L141" s="16" t="n">
        <v>13542086.04</v>
      </c>
      <c r="M141" s="0" t="n">
        <v>190104</v>
      </c>
      <c r="N141" s="14" t="s">
        <v>178</v>
      </c>
      <c r="O141" s="14" t="s">
        <v>74</v>
      </c>
      <c r="P141" s="14" t="s">
        <v>74</v>
      </c>
    </row>
    <row r="142" customFormat="false" ht="15" hidden="false" customHeight="false" outlineLevel="0" collapsed="false">
      <c r="A142" s="0" t="n">
        <v>88815474</v>
      </c>
      <c r="B142" s="0" t="n">
        <v>1</v>
      </c>
      <c r="C142" s="13" t="n">
        <v>45975</v>
      </c>
      <c r="D142" s="0" t="n">
        <v>2025</v>
      </c>
      <c r="E142" s="14" t="s">
        <v>45</v>
      </c>
      <c r="F142" s="14" t="s">
        <v>106</v>
      </c>
      <c r="G142" s="14" t="s">
        <v>107</v>
      </c>
      <c r="H142" s="14" t="s">
        <v>30</v>
      </c>
      <c r="I142" s="14" t="s">
        <v>20</v>
      </c>
      <c r="J142" s="14" t="s">
        <v>27</v>
      </c>
      <c r="K142" s="15" t="n">
        <v>882.611</v>
      </c>
      <c r="L142" s="16" t="n">
        <v>548119</v>
      </c>
      <c r="M142" s="0" t="n">
        <v>150202</v>
      </c>
      <c r="N142" s="14" t="s">
        <v>179</v>
      </c>
      <c r="O142" s="14" t="s">
        <v>74</v>
      </c>
      <c r="P142" s="14" t="s">
        <v>74</v>
      </c>
    </row>
    <row r="143" customFormat="false" ht="15" hidden="false" customHeight="false" outlineLevel="0" collapsed="false">
      <c r="A143" s="0" t="n">
        <v>89571168</v>
      </c>
      <c r="B143" s="0" t="n">
        <v>1</v>
      </c>
      <c r="C143" s="13" t="n">
        <v>45981</v>
      </c>
      <c r="D143" s="0" t="n">
        <v>2025</v>
      </c>
      <c r="E143" s="14" t="s">
        <v>45</v>
      </c>
      <c r="F143" s="14" t="s">
        <v>71</v>
      </c>
      <c r="G143" s="14" t="s">
        <v>72</v>
      </c>
      <c r="H143" s="14" t="s">
        <v>30</v>
      </c>
      <c r="I143" s="14" t="s">
        <v>20</v>
      </c>
      <c r="J143" s="14" t="s">
        <v>27</v>
      </c>
      <c r="K143" s="15" t="n">
        <v>958.938</v>
      </c>
      <c r="L143" s="16" t="n">
        <v>568926</v>
      </c>
      <c r="M143" s="0" t="n">
        <v>150202</v>
      </c>
      <c r="N143" s="14" t="s">
        <v>180</v>
      </c>
      <c r="O143" s="14" t="s">
        <v>74</v>
      </c>
      <c r="P143" s="14" t="s">
        <v>74</v>
      </c>
    </row>
    <row r="144" customFormat="false" ht="15" hidden="false" customHeight="false" outlineLevel="0" collapsed="false">
      <c r="A144" s="0" t="n">
        <v>90900714</v>
      </c>
      <c r="B144" s="0" t="n">
        <v>1</v>
      </c>
      <c r="C144" s="13" t="n">
        <v>45991</v>
      </c>
      <c r="D144" s="0" t="n">
        <v>2025</v>
      </c>
      <c r="E144" s="14" t="s">
        <v>45</v>
      </c>
      <c r="F144" s="14" t="s">
        <v>71</v>
      </c>
      <c r="G144" s="14" t="s">
        <v>72</v>
      </c>
      <c r="H144" s="14" t="s">
        <v>30</v>
      </c>
      <c r="I144" s="14" t="s">
        <v>20</v>
      </c>
      <c r="J144" s="14" t="s">
        <v>27</v>
      </c>
      <c r="K144" s="15" t="n">
        <v>933.987</v>
      </c>
      <c r="L144" s="16" t="n">
        <v>593388</v>
      </c>
      <c r="M144" s="0" t="n">
        <v>150202</v>
      </c>
      <c r="N144" s="14" t="s">
        <v>181</v>
      </c>
      <c r="O144" s="14" t="s">
        <v>74</v>
      </c>
      <c r="P144" s="14" t="s">
        <v>74</v>
      </c>
    </row>
    <row r="145" customFormat="false" ht="28.35" hidden="false" customHeight="false" outlineLevel="0" collapsed="false">
      <c r="A145" s="0" t="n">
        <v>91201029</v>
      </c>
      <c r="B145" s="0" t="n">
        <v>1</v>
      </c>
      <c r="C145" s="13" t="n">
        <v>45993</v>
      </c>
      <c r="D145" s="0" t="n">
        <v>2025</v>
      </c>
      <c r="E145" s="14" t="s">
        <v>46</v>
      </c>
      <c r="F145" s="14" t="s">
        <v>71</v>
      </c>
      <c r="G145" s="14" t="s">
        <v>72</v>
      </c>
      <c r="H145" s="14" t="s">
        <v>30</v>
      </c>
      <c r="I145" s="14" t="s">
        <v>20</v>
      </c>
      <c r="J145" s="14" t="s">
        <v>27</v>
      </c>
      <c r="K145" s="15" t="n">
        <v>1355.808</v>
      </c>
      <c r="L145" s="16" t="n">
        <v>7188451.1</v>
      </c>
      <c r="M145" s="0" t="n">
        <v>151001</v>
      </c>
      <c r="N145" s="17" t="s">
        <v>182</v>
      </c>
      <c r="O145" s="14" t="s">
        <v>74</v>
      </c>
      <c r="P145" s="14" t="s">
        <v>74</v>
      </c>
    </row>
    <row r="146" customFormat="false" ht="15" hidden="false" customHeight="false" outlineLevel="0" collapsed="false">
      <c r="A146" s="0" t="n">
        <v>94362649</v>
      </c>
      <c r="B146" s="0" t="n">
        <v>1</v>
      </c>
      <c r="C146" s="13" t="n">
        <v>46015</v>
      </c>
      <c r="D146" s="0" t="n">
        <v>2025</v>
      </c>
      <c r="E146" s="14" t="s">
        <v>46</v>
      </c>
      <c r="F146" s="14" t="s">
        <v>71</v>
      </c>
      <c r="G146" s="14" t="s">
        <v>72</v>
      </c>
      <c r="H146" s="14" t="s">
        <v>15</v>
      </c>
      <c r="I146" s="14" t="s">
        <v>20</v>
      </c>
      <c r="J146" s="14" t="s">
        <v>24</v>
      </c>
      <c r="K146" s="15" t="n">
        <v>11439.43</v>
      </c>
      <c r="L146" s="16" t="n">
        <v>39390811.32</v>
      </c>
      <c r="M146" s="0" t="n">
        <v>190104</v>
      </c>
      <c r="N146" s="14" t="s">
        <v>183</v>
      </c>
      <c r="O146" s="14" t="s">
        <v>74</v>
      </c>
      <c r="P146" s="14" t="s">
        <v>74</v>
      </c>
    </row>
    <row r="147" customFormat="false" ht="15" hidden="false" customHeight="false" outlineLevel="0" collapsed="false">
      <c r="A147" s="0" t="n">
        <v>97066122</v>
      </c>
      <c r="B147" s="0" t="n">
        <v>1</v>
      </c>
      <c r="C147" s="13" t="n">
        <v>46038</v>
      </c>
      <c r="D147" s="0" t="n">
        <v>2026</v>
      </c>
      <c r="E147" s="14" t="s">
        <v>47</v>
      </c>
      <c r="F147" s="14" t="s">
        <v>71</v>
      </c>
      <c r="G147" s="14" t="s">
        <v>72</v>
      </c>
      <c r="H147" s="14" t="s">
        <v>15</v>
      </c>
      <c r="I147" s="14" t="s">
        <v>20</v>
      </c>
      <c r="J147" s="14" t="s">
        <v>24</v>
      </c>
      <c r="K147" s="15" t="n">
        <v>11695.68</v>
      </c>
      <c r="L147" s="16" t="n">
        <v>47082823.87</v>
      </c>
      <c r="M147" s="0" t="n">
        <v>190104</v>
      </c>
      <c r="N147" s="14" t="s">
        <v>184</v>
      </c>
      <c r="O147" s="14" t="s">
        <v>74</v>
      </c>
      <c r="P147" s="14" t="s">
        <v>74</v>
      </c>
    </row>
    <row r="148" customFormat="false" ht="15" hidden="false" customHeight="false" outlineLevel="0" collapsed="false">
      <c r="A148" s="0" t="n">
        <v>97517731</v>
      </c>
      <c r="B148" s="0" t="n">
        <v>1</v>
      </c>
      <c r="C148" s="13" t="n">
        <v>46043</v>
      </c>
      <c r="D148" s="0" t="n">
        <v>2026</v>
      </c>
      <c r="E148" s="14" t="s">
        <v>47</v>
      </c>
      <c r="F148" s="14" t="s">
        <v>71</v>
      </c>
      <c r="G148" s="14" t="s">
        <v>72</v>
      </c>
      <c r="H148" s="14" t="s">
        <v>30</v>
      </c>
      <c r="I148" s="14" t="s">
        <v>20</v>
      </c>
      <c r="J148" s="14" t="s">
        <v>27</v>
      </c>
      <c r="K148" s="15" t="n">
        <v>912.563</v>
      </c>
      <c r="L148" s="16" t="n">
        <v>731632.5</v>
      </c>
      <c r="M148" s="0" t="n">
        <v>150202</v>
      </c>
      <c r="N148" s="14" t="s">
        <v>185</v>
      </c>
      <c r="O148" s="14" t="s">
        <v>74</v>
      </c>
      <c r="P148" s="14" t="s">
        <v>74</v>
      </c>
    </row>
    <row r="149" customFormat="false" ht="15" hidden="false" customHeight="false" outlineLevel="0" collapsed="false">
      <c r="A149" s="0" t="n">
        <v>99982691</v>
      </c>
      <c r="B149" s="0" t="n">
        <v>1</v>
      </c>
      <c r="C149" s="13" t="n">
        <v>46055</v>
      </c>
      <c r="D149" s="0" t="n">
        <v>2026</v>
      </c>
      <c r="E149" s="14" t="s">
        <v>48</v>
      </c>
      <c r="F149" s="14" t="s">
        <v>71</v>
      </c>
      <c r="G149" s="14" t="s">
        <v>72</v>
      </c>
      <c r="H149" s="14" t="s">
        <v>19</v>
      </c>
      <c r="I149" s="14" t="s">
        <v>20</v>
      </c>
      <c r="J149" s="14" t="s">
        <v>17</v>
      </c>
      <c r="K149" s="15" t="n">
        <v>10167.12</v>
      </c>
      <c r="L149" s="16" t="n">
        <v>44529261.19</v>
      </c>
      <c r="M149" s="0" t="n">
        <v>120805</v>
      </c>
      <c r="N149" s="14" t="s">
        <v>79</v>
      </c>
      <c r="O149" s="14" t="s">
        <v>74</v>
      </c>
      <c r="P149" s="14" t="s">
        <v>74</v>
      </c>
    </row>
    <row r="150" customFormat="false" ht="15" hidden="false" customHeight="false" outlineLevel="0" collapsed="false">
      <c r="A150" s="0" t="n">
        <v>99986224</v>
      </c>
      <c r="B150" s="0" t="n">
        <v>1</v>
      </c>
      <c r="C150" s="13" t="n">
        <v>46055</v>
      </c>
      <c r="D150" s="0" t="n">
        <v>2026</v>
      </c>
      <c r="E150" s="14" t="s">
        <v>48</v>
      </c>
      <c r="F150" s="14" t="s">
        <v>71</v>
      </c>
      <c r="G150" s="14" t="s">
        <v>72</v>
      </c>
      <c r="H150" s="14" t="s">
        <v>30</v>
      </c>
      <c r="I150" s="14" t="s">
        <v>20</v>
      </c>
      <c r="J150" s="14" t="s">
        <v>27</v>
      </c>
      <c r="K150" s="15" t="n">
        <v>933.638</v>
      </c>
      <c r="L150" s="16" t="n">
        <v>715918.35</v>
      </c>
      <c r="M150" s="0" t="n">
        <v>150202</v>
      </c>
      <c r="N150" s="14" t="s">
        <v>186</v>
      </c>
      <c r="O150" s="14" t="s">
        <v>74</v>
      </c>
      <c r="P150" s="14" t="s">
        <v>74</v>
      </c>
    </row>
    <row r="151" customFormat="false" ht="15" hidden="false" customHeight="false" outlineLevel="0" collapsed="false">
      <c r="A151" s="0" t="n">
        <v>100994710</v>
      </c>
      <c r="B151" s="0" t="n">
        <v>1</v>
      </c>
      <c r="C151" s="13" t="n">
        <v>46064</v>
      </c>
      <c r="D151" s="0" t="n">
        <v>2026</v>
      </c>
      <c r="E151" s="14" t="s">
        <v>48</v>
      </c>
      <c r="F151" s="14" t="s">
        <v>71</v>
      </c>
      <c r="G151" s="14" t="s">
        <v>72</v>
      </c>
      <c r="H151" s="14" t="s">
        <v>30</v>
      </c>
      <c r="I151" s="14" t="s">
        <v>20</v>
      </c>
      <c r="J151" s="14" t="s">
        <v>27</v>
      </c>
      <c r="K151" s="15" t="n">
        <v>809.13</v>
      </c>
      <c r="L151" s="16" t="n">
        <v>674291.63</v>
      </c>
      <c r="M151" s="0" t="n">
        <v>150202</v>
      </c>
      <c r="N151" s="14" t="s">
        <v>187</v>
      </c>
      <c r="O151" s="14" t="s">
        <v>74</v>
      </c>
      <c r="P151" s="14" t="s">
        <v>74</v>
      </c>
    </row>
    <row r="152" customFormat="false" ht="15" hidden="false" customHeight="false" outlineLevel="0" collapsed="false">
      <c r="A152" s="0" t="n">
        <v>103261628</v>
      </c>
      <c r="B152" s="0" t="n">
        <v>1</v>
      </c>
      <c r="C152" s="13" t="n">
        <v>46080</v>
      </c>
      <c r="D152" s="0" t="n">
        <v>2026</v>
      </c>
      <c r="E152" s="14" t="s">
        <v>48</v>
      </c>
      <c r="F152" s="14" t="s">
        <v>71</v>
      </c>
      <c r="G152" s="14" t="s">
        <v>72</v>
      </c>
      <c r="H152" s="14" t="s">
        <v>30</v>
      </c>
      <c r="I152" s="14" t="s">
        <v>20</v>
      </c>
      <c r="J152" s="14" t="s">
        <v>27</v>
      </c>
      <c r="K152" s="15" t="n">
        <v>881.909</v>
      </c>
      <c r="L152" s="16" t="n">
        <v>735032.03</v>
      </c>
      <c r="M152" s="0" t="n">
        <v>150202</v>
      </c>
      <c r="N152" s="14" t="s">
        <v>188</v>
      </c>
      <c r="O152" s="14" t="s">
        <v>74</v>
      </c>
      <c r="P152" s="14" t="s">
        <v>74</v>
      </c>
    </row>
    <row r="153" customFormat="false" ht="15" hidden="false" customHeight="false" outlineLevel="0" collapsed="false">
      <c r="A153" s="0" t="n">
        <v>65734388</v>
      </c>
      <c r="B153" s="0" t="n">
        <v>1</v>
      </c>
      <c r="C153" s="13" t="n">
        <v>45729</v>
      </c>
      <c r="D153" s="0" t="n">
        <v>2025</v>
      </c>
      <c r="E153" s="14" t="s">
        <v>22</v>
      </c>
      <c r="F153" s="14" t="s">
        <v>71</v>
      </c>
      <c r="G153" s="14" t="s">
        <v>72</v>
      </c>
      <c r="H153" s="14" t="s">
        <v>30</v>
      </c>
      <c r="I153" s="14" t="s">
        <v>16</v>
      </c>
      <c r="J153" s="14" t="s">
        <v>27</v>
      </c>
      <c r="K153" s="15" t="n">
        <v>1068.866</v>
      </c>
      <c r="L153" s="16" t="n">
        <v>443354.93</v>
      </c>
      <c r="M153" s="0" t="n">
        <v>150202</v>
      </c>
      <c r="N153" s="14" t="s">
        <v>87</v>
      </c>
      <c r="O153" s="14" t="s">
        <v>74</v>
      </c>
      <c r="P153" s="14" t="s">
        <v>74</v>
      </c>
    </row>
    <row r="154" customFormat="false" ht="15" hidden="false" customHeight="false" outlineLevel="0" collapsed="false">
      <c r="A154" s="0" t="n">
        <v>66276730</v>
      </c>
      <c r="B154" s="0" t="n">
        <v>1</v>
      </c>
      <c r="C154" s="13" t="n">
        <v>45737</v>
      </c>
      <c r="D154" s="0" t="n">
        <v>2025</v>
      </c>
      <c r="E154" s="14" t="s">
        <v>22</v>
      </c>
      <c r="F154" s="14" t="s">
        <v>71</v>
      </c>
      <c r="G154" s="14" t="s">
        <v>72</v>
      </c>
      <c r="H154" s="14" t="s">
        <v>42</v>
      </c>
      <c r="I154" s="14" t="s">
        <v>16</v>
      </c>
      <c r="J154" s="14" t="s">
        <v>27</v>
      </c>
      <c r="K154" s="15" t="n">
        <v>263.31</v>
      </c>
      <c r="L154" s="16" t="n">
        <v>295268.22</v>
      </c>
      <c r="M154" s="0" t="n">
        <v>60202</v>
      </c>
      <c r="N154" s="14" t="s">
        <v>99</v>
      </c>
      <c r="O154" s="14" t="s">
        <v>74</v>
      </c>
      <c r="P154" s="14" t="s">
        <v>74</v>
      </c>
    </row>
    <row r="155" customFormat="false" ht="15" hidden="false" customHeight="false" outlineLevel="0" collapsed="false">
      <c r="A155" s="0" t="n">
        <v>66265564</v>
      </c>
      <c r="B155" s="0" t="n">
        <v>1</v>
      </c>
      <c r="C155" s="13" t="n">
        <v>45737</v>
      </c>
      <c r="D155" s="0" t="n">
        <v>2025</v>
      </c>
      <c r="E155" s="14" t="s">
        <v>22</v>
      </c>
      <c r="F155" s="14" t="s">
        <v>71</v>
      </c>
      <c r="G155" s="14" t="s">
        <v>72</v>
      </c>
      <c r="H155" s="14" t="s">
        <v>15</v>
      </c>
      <c r="I155" s="14" t="s">
        <v>20</v>
      </c>
      <c r="J155" s="14" t="s">
        <v>21</v>
      </c>
      <c r="K155" s="15" t="n">
        <v>11070.662</v>
      </c>
      <c r="L155" s="16" t="n">
        <v>35095593.77</v>
      </c>
      <c r="M155" s="0" t="n">
        <v>190104</v>
      </c>
      <c r="N155" s="14" t="s">
        <v>189</v>
      </c>
      <c r="O155" s="14" t="s">
        <v>74</v>
      </c>
      <c r="P155" s="14" t="s">
        <v>74</v>
      </c>
    </row>
    <row r="156" customFormat="false" ht="15" hidden="false" customHeight="false" outlineLevel="0" collapsed="false">
      <c r="A156" s="0" t="n">
        <v>68619904</v>
      </c>
      <c r="B156" s="0" t="n">
        <v>1</v>
      </c>
      <c r="C156" s="13" t="n">
        <v>45772</v>
      </c>
      <c r="D156" s="0" t="n">
        <v>2025</v>
      </c>
      <c r="E156" s="14" t="s">
        <v>25</v>
      </c>
      <c r="F156" s="14" t="s">
        <v>71</v>
      </c>
      <c r="G156" s="14" t="s">
        <v>72</v>
      </c>
      <c r="H156" s="14" t="s">
        <v>30</v>
      </c>
      <c r="I156" s="14" t="s">
        <v>16</v>
      </c>
      <c r="J156" s="14" t="s">
        <v>27</v>
      </c>
      <c r="K156" s="15" t="n">
        <v>710.962</v>
      </c>
      <c r="L156" s="16" t="n">
        <v>335289.68</v>
      </c>
      <c r="M156" s="0" t="n">
        <v>150202</v>
      </c>
      <c r="N156" s="14" t="s">
        <v>139</v>
      </c>
      <c r="O156" s="14" t="s">
        <v>74</v>
      </c>
      <c r="P156" s="14" t="s">
        <v>74</v>
      </c>
    </row>
    <row r="157" customFormat="false" ht="28.35" hidden="false" customHeight="false" outlineLevel="0" collapsed="false">
      <c r="A157" s="0" t="n">
        <v>68689946</v>
      </c>
      <c r="B157" s="0" t="n">
        <v>1</v>
      </c>
      <c r="C157" s="13" t="n">
        <v>45773</v>
      </c>
      <c r="D157" s="0" t="n">
        <v>2025</v>
      </c>
      <c r="E157" s="14" t="s">
        <v>25</v>
      </c>
      <c r="F157" s="14" t="s">
        <v>71</v>
      </c>
      <c r="G157" s="14" t="s">
        <v>72</v>
      </c>
      <c r="H157" s="14" t="s">
        <v>36</v>
      </c>
      <c r="I157" s="14" t="s">
        <v>20</v>
      </c>
      <c r="J157" s="14" t="s">
        <v>27</v>
      </c>
      <c r="K157" s="15" t="n">
        <v>211.79</v>
      </c>
      <c r="L157" s="16" t="n">
        <v>809590.61</v>
      </c>
      <c r="M157" s="0" t="n">
        <v>21505</v>
      </c>
      <c r="N157" s="17" t="s">
        <v>190</v>
      </c>
      <c r="O157" s="14" t="s">
        <v>74</v>
      </c>
      <c r="P157" s="14" t="s">
        <v>74</v>
      </c>
    </row>
    <row r="158" customFormat="false" ht="28.35" hidden="false" customHeight="false" outlineLevel="0" collapsed="false">
      <c r="A158" s="0" t="n">
        <v>69288636</v>
      </c>
      <c r="B158" s="0" t="n">
        <v>1</v>
      </c>
      <c r="C158" s="13" t="n">
        <v>45782</v>
      </c>
      <c r="D158" s="0" t="n">
        <v>2025</v>
      </c>
      <c r="E158" s="14" t="s">
        <v>29</v>
      </c>
      <c r="F158" s="14" t="s">
        <v>71</v>
      </c>
      <c r="G158" s="14" t="s">
        <v>72</v>
      </c>
      <c r="H158" s="14" t="s">
        <v>33</v>
      </c>
      <c r="I158" s="14" t="s">
        <v>16</v>
      </c>
      <c r="J158" s="14" t="s">
        <v>27</v>
      </c>
      <c r="K158" s="15" t="n">
        <v>860.718</v>
      </c>
      <c r="L158" s="16" t="n">
        <v>273441.49</v>
      </c>
      <c r="M158" s="0" t="n">
        <v>40101</v>
      </c>
      <c r="N158" s="17" t="s">
        <v>191</v>
      </c>
      <c r="O158" s="14" t="s">
        <v>74</v>
      </c>
      <c r="P158" s="14" t="s">
        <v>74</v>
      </c>
    </row>
    <row r="159" customFormat="false" ht="28.35" hidden="false" customHeight="false" outlineLevel="0" collapsed="false">
      <c r="A159" s="0" t="n">
        <v>69988675</v>
      </c>
      <c r="B159" s="0" t="n">
        <v>1</v>
      </c>
      <c r="C159" s="13" t="n">
        <v>45790</v>
      </c>
      <c r="D159" s="0" t="n">
        <v>2025</v>
      </c>
      <c r="E159" s="14" t="s">
        <v>29</v>
      </c>
      <c r="F159" s="14" t="s">
        <v>71</v>
      </c>
      <c r="G159" s="14" t="s">
        <v>72</v>
      </c>
      <c r="H159" s="14" t="s">
        <v>23</v>
      </c>
      <c r="I159" s="14" t="s">
        <v>20</v>
      </c>
      <c r="J159" s="14" t="s">
        <v>27</v>
      </c>
      <c r="K159" s="15" t="n">
        <v>1264.85</v>
      </c>
      <c r="L159" s="16" t="n">
        <v>3587590.46</v>
      </c>
      <c r="M159" s="0" t="n">
        <v>110304</v>
      </c>
      <c r="N159" s="17" t="s">
        <v>192</v>
      </c>
      <c r="O159" s="14" t="s">
        <v>74</v>
      </c>
      <c r="P159" s="14" t="s">
        <v>74</v>
      </c>
    </row>
    <row r="160" customFormat="false" ht="15" hidden="false" customHeight="false" outlineLevel="0" collapsed="false">
      <c r="A160" s="0" t="n">
        <v>70276913</v>
      </c>
      <c r="B160" s="0" t="n">
        <v>1</v>
      </c>
      <c r="C160" s="13" t="n">
        <v>45793</v>
      </c>
      <c r="D160" s="0" t="n">
        <v>2025</v>
      </c>
      <c r="E160" s="14" t="s">
        <v>29</v>
      </c>
      <c r="F160" s="14" t="s">
        <v>71</v>
      </c>
      <c r="G160" s="14" t="s">
        <v>72</v>
      </c>
      <c r="H160" s="14" t="s">
        <v>33</v>
      </c>
      <c r="I160" s="14" t="s">
        <v>16</v>
      </c>
      <c r="J160" s="14" t="s">
        <v>27</v>
      </c>
      <c r="K160" s="15" t="n">
        <v>883.2</v>
      </c>
      <c r="L160" s="16" t="n">
        <v>320000</v>
      </c>
      <c r="M160" s="0" t="n">
        <v>40101</v>
      </c>
      <c r="N160" s="14" t="s">
        <v>82</v>
      </c>
      <c r="O160" s="14" t="s">
        <v>74</v>
      </c>
      <c r="P160" s="14" t="s">
        <v>74</v>
      </c>
    </row>
    <row r="161" customFormat="false" ht="15" hidden="false" customHeight="false" outlineLevel="0" collapsed="false">
      <c r="A161" s="0" t="n">
        <v>71078116</v>
      </c>
      <c r="B161" s="0" t="n">
        <v>1</v>
      </c>
      <c r="C161" s="13" t="n">
        <v>45804</v>
      </c>
      <c r="D161" s="0" t="n">
        <v>2025</v>
      </c>
      <c r="E161" s="14" t="s">
        <v>29</v>
      </c>
      <c r="F161" s="14" t="s">
        <v>71</v>
      </c>
      <c r="G161" s="14" t="s">
        <v>72</v>
      </c>
      <c r="H161" s="14" t="s">
        <v>30</v>
      </c>
      <c r="I161" s="14" t="s">
        <v>16</v>
      </c>
      <c r="J161" s="14" t="s">
        <v>27</v>
      </c>
      <c r="K161" s="15" t="n">
        <v>902.404</v>
      </c>
      <c r="L161" s="16" t="n">
        <v>439606.11</v>
      </c>
      <c r="M161" s="0" t="n">
        <v>150202</v>
      </c>
      <c r="N161" s="14" t="s">
        <v>139</v>
      </c>
      <c r="O161" s="14" t="s">
        <v>74</v>
      </c>
      <c r="P161" s="14" t="s">
        <v>74</v>
      </c>
    </row>
    <row r="162" customFormat="false" ht="15" hidden="false" customHeight="false" outlineLevel="0" collapsed="false">
      <c r="A162" s="0" t="n">
        <v>71269381</v>
      </c>
      <c r="B162" s="0" t="n">
        <v>1</v>
      </c>
      <c r="C162" s="13" t="n">
        <v>45806</v>
      </c>
      <c r="D162" s="0" t="n">
        <v>2025</v>
      </c>
      <c r="E162" s="14" t="s">
        <v>29</v>
      </c>
      <c r="F162" s="14" t="s">
        <v>71</v>
      </c>
      <c r="G162" s="14" t="s">
        <v>72</v>
      </c>
      <c r="H162" s="14" t="s">
        <v>19</v>
      </c>
      <c r="I162" s="14" t="s">
        <v>20</v>
      </c>
      <c r="J162" s="14" t="s">
        <v>17</v>
      </c>
      <c r="K162" s="15" t="n">
        <v>9564.582</v>
      </c>
      <c r="L162" s="16" t="n">
        <v>33491161.97</v>
      </c>
      <c r="M162" s="0" t="n">
        <v>120805</v>
      </c>
      <c r="N162" s="14" t="s">
        <v>79</v>
      </c>
      <c r="O162" s="14" t="s">
        <v>74</v>
      </c>
      <c r="P162" s="14" t="s">
        <v>74</v>
      </c>
    </row>
    <row r="163" customFormat="false" ht="15" hidden="false" customHeight="false" outlineLevel="0" collapsed="false">
      <c r="A163" s="0" t="n">
        <v>72242035</v>
      </c>
      <c r="B163" s="0" t="n">
        <v>1</v>
      </c>
      <c r="C163" s="13" t="n">
        <v>45817</v>
      </c>
      <c r="D163" s="0" t="n">
        <v>2025</v>
      </c>
      <c r="E163" s="14" t="s">
        <v>32</v>
      </c>
      <c r="F163" s="14" t="s">
        <v>71</v>
      </c>
      <c r="G163" s="14" t="s">
        <v>72</v>
      </c>
      <c r="H163" s="14" t="s">
        <v>19</v>
      </c>
      <c r="I163" s="14" t="s">
        <v>20</v>
      </c>
      <c r="J163" s="14" t="s">
        <v>17</v>
      </c>
      <c r="K163" s="15" t="n">
        <v>9042.758</v>
      </c>
      <c r="L163" s="16" t="n">
        <v>30405073.7</v>
      </c>
      <c r="M163" s="0" t="n">
        <v>120805</v>
      </c>
      <c r="N163" s="14" t="s">
        <v>79</v>
      </c>
      <c r="O163" s="14" t="s">
        <v>74</v>
      </c>
      <c r="P163" s="14" t="s">
        <v>74</v>
      </c>
    </row>
    <row r="164" customFormat="false" ht="15" hidden="false" customHeight="false" outlineLevel="0" collapsed="false">
      <c r="A164" s="0" t="n">
        <v>72525856</v>
      </c>
      <c r="B164" s="0" t="n">
        <v>1</v>
      </c>
      <c r="C164" s="13" t="n">
        <v>45820</v>
      </c>
      <c r="D164" s="0" t="n">
        <v>2025</v>
      </c>
      <c r="E164" s="14" t="s">
        <v>32</v>
      </c>
      <c r="F164" s="14" t="s">
        <v>71</v>
      </c>
      <c r="G164" s="14" t="s">
        <v>72</v>
      </c>
      <c r="H164" s="14" t="s">
        <v>30</v>
      </c>
      <c r="I164" s="14" t="s">
        <v>16</v>
      </c>
      <c r="J164" s="14" t="s">
        <v>27</v>
      </c>
      <c r="K164" s="15" t="n">
        <v>713.072</v>
      </c>
      <c r="L164" s="16" t="n">
        <v>334487.81</v>
      </c>
      <c r="M164" s="0" t="n">
        <v>150202</v>
      </c>
      <c r="N164" s="14" t="s">
        <v>139</v>
      </c>
      <c r="O164" s="14" t="s">
        <v>74</v>
      </c>
      <c r="P164" s="14" t="s">
        <v>74</v>
      </c>
    </row>
    <row r="165" customFormat="false" ht="15" hidden="false" customHeight="false" outlineLevel="0" collapsed="false">
      <c r="A165" s="0" t="n">
        <v>73103320</v>
      </c>
      <c r="B165" s="0" t="n">
        <v>1</v>
      </c>
      <c r="C165" s="13" t="n">
        <v>45826</v>
      </c>
      <c r="D165" s="0" t="n">
        <v>2025</v>
      </c>
      <c r="E165" s="14" t="s">
        <v>32</v>
      </c>
      <c r="F165" s="14" t="s">
        <v>71</v>
      </c>
      <c r="G165" s="14" t="s">
        <v>72</v>
      </c>
      <c r="H165" s="14" t="s">
        <v>30</v>
      </c>
      <c r="I165" s="14" t="s">
        <v>16</v>
      </c>
      <c r="J165" s="14" t="s">
        <v>27</v>
      </c>
      <c r="K165" s="15" t="n">
        <v>1246.281</v>
      </c>
      <c r="L165" s="16" t="n">
        <v>662797.16</v>
      </c>
      <c r="M165" s="0" t="n">
        <v>150202</v>
      </c>
      <c r="N165" s="14" t="s">
        <v>139</v>
      </c>
      <c r="O165" s="14" t="s">
        <v>74</v>
      </c>
      <c r="P165" s="14" t="s">
        <v>74</v>
      </c>
    </row>
    <row r="166" customFormat="false" ht="15" hidden="false" customHeight="false" outlineLevel="0" collapsed="false">
      <c r="A166" s="0" t="n">
        <v>74368997</v>
      </c>
      <c r="B166" s="0" t="n">
        <v>1</v>
      </c>
      <c r="C166" s="13" t="n">
        <v>45840</v>
      </c>
      <c r="D166" s="0" t="n">
        <v>2025</v>
      </c>
      <c r="E166" s="14" t="s">
        <v>35</v>
      </c>
      <c r="F166" s="14" t="s">
        <v>71</v>
      </c>
      <c r="G166" s="14" t="s">
        <v>72</v>
      </c>
      <c r="H166" s="14" t="s">
        <v>30</v>
      </c>
      <c r="I166" s="14" t="s">
        <v>16</v>
      </c>
      <c r="J166" s="14" t="s">
        <v>27</v>
      </c>
      <c r="K166" s="15" t="n">
        <v>969.38</v>
      </c>
      <c r="L166" s="16" t="n">
        <v>482402.26</v>
      </c>
      <c r="M166" s="0" t="n">
        <v>150202</v>
      </c>
      <c r="N166" s="14" t="s">
        <v>139</v>
      </c>
      <c r="O166" s="14" t="s">
        <v>74</v>
      </c>
      <c r="P166" s="14" t="s">
        <v>74</v>
      </c>
    </row>
    <row r="167" customFormat="false" ht="15" hidden="false" customHeight="false" outlineLevel="0" collapsed="false">
      <c r="A167" s="0" t="n">
        <v>74283405</v>
      </c>
      <c r="B167" s="0" t="n">
        <v>1</v>
      </c>
      <c r="C167" s="13" t="n">
        <v>45839</v>
      </c>
      <c r="D167" s="0" t="n">
        <v>2025</v>
      </c>
      <c r="E167" s="14" t="s">
        <v>35</v>
      </c>
      <c r="F167" s="14" t="s">
        <v>71</v>
      </c>
      <c r="G167" s="14" t="s">
        <v>72</v>
      </c>
      <c r="H167" s="14" t="s">
        <v>30</v>
      </c>
      <c r="I167" s="14" t="s">
        <v>16</v>
      </c>
      <c r="J167" s="14" t="s">
        <v>27</v>
      </c>
      <c r="K167" s="15" t="n">
        <v>894.813</v>
      </c>
      <c r="L167" s="16" t="n">
        <v>439406.87</v>
      </c>
      <c r="M167" s="0" t="n">
        <v>150202</v>
      </c>
      <c r="N167" s="14" t="s">
        <v>139</v>
      </c>
      <c r="O167" s="14" t="s">
        <v>74</v>
      </c>
      <c r="P167" s="14" t="s">
        <v>74</v>
      </c>
    </row>
    <row r="168" customFormat="false" ht="15" hidden="false" customHeight="false" outlineLevel="0" collapsed="false">
      <c r="A168" s="0" t="n">
        <v>74685140</v>
      </c>
      <c r="B168" s="0" t="n">
        <v>1</v>
      </c>
      <c r="C168" s="13" t="n">
        <v>45843</v>
      </c>
      <c r="D168" s="0" t="n">
        <v>2025</v>
      </c>
      <c r="E168" s="14" t="s">
        <v>35</v>
      </c>
      <c r="F168" s="14" t="s">
        <v>71</v>
      </c>
      <c r="G168" s="14" t="s">
        <v>72</v>
      </c>
      <c r="H168" s="14" t="s">
        <v>30</v>
      </c>
      <c r="I168" s="14" t="s">
        <v>16</v>
      </c>
      <c r="J168" s="14" t="s">
        <v>27</v>
      </c>
      <c r="K168" s="15" t="n">
        <v>871.729</v>
      </c>
      <c r="L168" s="16" t="n">
        <v>413269.28</v>
      </c>
      <c r="M168" s="0" t="n">
        <v>150202</v>
      </c>
      <c r="N168" s="14" t="s">
        <v>139</v>
      </c>
      <c r="O168" s="14" t="s">
        <v>74</v>
      </c>
      <c r="P168" s="14" t="s">
        <v>74</v>
      </c>
    </row>
    <row r="169" customFormat="false" ht="28.35" hidden="false" customHeight="false" outlineLevel="0" collapsed="false">
      <c r="A169" s="0" t="n">
        <v>74861884</v>
      </c>
      <c r="B169" s="0" t="n">
        <v>1</v>
      </c>
      <c r="C169" s="13" t="n">
        <v>45845</v>
      </c>
      <c r="D169" s="0" t="n">
        <v>2025</v>
      </c>
      <c r="E169" s="14" t="s">
        <v>35</v>
      </c>
      <c r="F169" s="14" t="s">
        <v>71</v>
      </c>
      <c r="G169" s="14" t="s">
        <v>72</v>
      </c>
      <c r="H169" s="14" t="s">
        <v>30</v>
      </c>
      <c r="I169" s="14" t="s">
        <v>20</v>
      </c>
      <c r="J169" s="14" t="s">
        <v>27</v>
      </c>
      <c r="K169" s="15" t="n">
        <v>181.402</v>
      </c>
      <c r="L169" s="16" t="n">
        <v>1897039.83</v>
      </c>
      <c r="M169" s="0" t="n">
        <v>150705</v>
      </c>
      <c r="N169" s="17" t="s">
        <v>166</v>
      </c>
      <c r="O169" s="14" t="s">
        <v>74</v>
      </c>
      <c r="P169" s="14" t="s">
        <v>74</v>
      </c>
    </row>
    <row r="170" customFormat="false" ht="15" hidden="false" customHeight="false" outlineLevel="0" collapsed="false">
      <c r="A170" s="0" t="n">
        <v>75251651</v>
      </c>
      <c r="B170" s="0" t="n">
        <v>1</v>
      </c>
      <c r="C170" s="13" t="n">
        <v>45849</v>
      </c>
      <c r="D170" s="0" t="n">
        <v>2025</v>
      </c>
      <c r="E170" s="14" t="s">
        <v>35</v>
      </c>
      <c r="F170" s="14" t="s">
        <v>71</v>
      </c>
      <c r="G170" s="14" t="s">
        <v>72</v>
      </c>
      <c r="H170" s="14" t="s">
        <v>15</v>
      </c>
      <c r="I170" s="14" t="s">
        <v>20</v>
      </c>
      <c r="J170" s="14" t="s">
        <v>24</v>
      </c>
      <c r="K170" s="15" t="n">
        <v>16505.588</v>
      </c>
      <c r="L170" s="16" t="n">
        <v>56476510.24</v>
      </c>
      <c r="M170" s="0" t="n">
        <v>190104</v>
      </c>
      <c r="N170" s="14" t="s">
        <v>193</v>
      </c>
      <c r="O170" s="14" t="s">
        <v>74</v>
      </c>
      <c r="P170" s="14" t="s">
        <v>74</v>
      </c>
    </row>
    <row r="171" customFormat="false" ht="15" hidden="false" customHeight="false" outlineLevel="0" collapsed="false">
      <c r="A171" s="0" t="n">
        <v>75581938</v>
      </c>
      <c r="B171" s="0" t="n">
        <v>1</v>
      </c>
      <c r="C171" s="13" t="n">
        <v>45853</v>
      </c>
      <c r="D171" s="0" t="n">
        <v>2025</v>
      </c>
      <c r="E171" s="14" t="s">
        <v>35</v>
      </c>
      <c r="F171" s="14" t="s">
        <v>71</v>
      </c>
      <c r="G171" s="14" t="s">
        <v>72</v>
      </c>
      <c r="H171" s="14" t="s">
        <v>19</v>
      </c>
      <c r="I171" s="14" t="s">
        <v>20</v>
      </c>
      <c r="J171" s="14" t="s">
        <v>17</v>
      </c>
      <c r="K171" s="15" t="n">
        <v>10944.712</v>
      </c>
      <c r="L171" s="16" t="n">
        <v>37136909.93</v>
      </c>
      <c r="M171" s="0" t="n">
        <v>120805</v>
      </c>
      <c r="N171" s="14" t="s">
        <v>79</v>
      </c>
      <c r="O171" s="14" t="s">
        <v>74</v>
      </c>
      <c r="P171" s="14" t="s">
        <v>74</v>
      </c>
    </row>
    <row r="172" customFormat="false" ht="15" hidden="false" customHeight="false" outlineLevel="0" collapsed="false">
      <c r="A172" s="0" t="n">
        <v>75510314</v>
      </c>
      <c r="B172" s="0" t="n">
        <v>1</v>
      </c>
      <c r="C172" s="13" t="n">
        <v>45852</v>
      </c>
      <c r="D172" s="0" t="n">
        <v>2025</v>
      </c>
      <c r="E172" s="14" t="s">
        <v>35</v>
      </c>
      <c r="F172" s="14" t="s">
        <v>71</v>
      </c>
      <c r="G172" s="14" t="s">
        <v>72</v>
      </c>
      <c r="H172" s="14" t="s">
        <v>19</v>
      </c>
      <c r="I172" s="14" t="s">
        <v>20</v>
      </c>
      <c r="J172" s="14" t="s">
        <v>17</v>
      </c>
      <c r="K172" s="15" t="n">
        <v>10938.533</v>
      </c>
      <c r="L172" s="16" t="n">
        <v>37560476.14</v>
      </c>
      <c r="M172" s="0" t="n">
        <v>120805</v>
      </c>
      <c r="N172" s="14" t="s">
        <v>79</v>
      </c>
      <c r="O172" s="14" t="s">
        <v>74</v>
      </c>
      <c r="P172" s="14" t="s">
        <v>74</v>
      </c>
    </row>
    <row r="173" customFormat="false" ht="15" hidden="false" customHeight="false" outlineLevel="0" collapsed="false">
      <c r="A173" s="0" t="n">
        <v>75753511</v>
      </c>
      <c r="B173" s="0" t="n">
        <v>1</v>
      </c>
      <c r="C173" s="13" t="n">
        <v>45854</v>
      </c>
      <c r="D173" s="0" t="n">
        <v>2025</v>
      </c>
      <c r="E173" s="14" t="s">
        <v>35</v>
      </c>
      <c r="F173" s="14" t="s">
        <v>194</v>
      </c>
      <c r="G173" s="14" t="s">
        <v>195</v>
      </c>
      <c r="H173" s="14" t="s">
        <v>30</v>
      </c>
      <c r="I173" s="14" t="s">
        <v>16</v>
      </c>
      <c r="J173" s="14" t="s">
        <v>196</v>
      </c>
      <c r="K173" s="15" t="n">
        <v>0.028564</v>
      </c>
      <c r="L173" s="16" t="n">
        <v>217.337</v>
      </c>
      <c r="M173" s="0" t="n">
        <v>150101</v>
      </c>
      <c r="N173" s="14" t="s">
        <v>197</v>
      </c>
      <c r="O173" s="14" t="s">
        <v>74</v>
      </c>
      <c r="P173" s="14" t="s">
        <v>74</v>
      </c>
    </row>
    <row r="174" customFormat="false" ht="15" hidden="false" customHeight="false" outlineLevel="0" collapsed="false">
      <c r="A174" s="0" t="n">
        <v>75753511</v>
      </c>
      <c r="B174" s="0" t="n">
        <v>2</v>
      </c>
      <c r="C174" s="13" t="n">
        <v>45854</v>
      </c>
      <c r="D174" s="0" t="n">
        <v>2025</v>
      </c>
      <c r="E174" s="14" t="s">
        <v>35</v>
      </c>
      <c r="F174" s="14" t="s">
        <v>194</v>
      </c>
      <c r="G174" s="14" t="s">
        <v>195</v>
      </c>
      <c r="H174" s="14" t="s">
        <v>30</v>
      </c>
      <c r="I174" s="14" t="s">
        <v>16</v>
      </c>
      <c r="J174" s="14" t="s">
        <v>196</v>
      </c>
      <c r="K174" s="15" t="n">
        <v>1.001436</v>
      </c>
      <c r="L174" s="16" t="n">
        <v>5795.663</v>
      </c>
      <c r="M174" s="0" t="n">
        <v>150101</v>
      </c>
      <c r="N174" s="14" t="s">
        <v>198</v>
      </c>
      <c r="O174" s="14" t="s">
        <v>74</v>
      </c>
      <c r="P174" s="14" t="s">
        <v>74</v>
      </c>
    </row>
    <row r="175" customFormat="false" ht="15" hidden="false" customHeight="false" outlineLevel="0" collapsed="false">
      <c r="A175" s="0" t="n">
        <v>76431172</v>
      </c>
      <c r="B175" s="0" t="n">
        <v>1</v>
      </c>
      <c r="C175" s="13" t="n">
        <v>45861</v>
      </c>
      <c r="D175" s="0" t="n">
        <v>2025</v>
      </c>
      <c r="E175" s="14" t="s">
        <v>35</v>
      </c>
      <c r="F175" s="14" t="s">
        <v>71</v>
      </c>
      <c r="G175" s="14" t="s">
        <v>72</v>
      </c>
      <c r="H175" s="14" t="s">
        <v>30</v>
      </c>
      <c r="I175" s="14" t="s">
        <v>16</v>
      </c>
      <c r="J175" s="14" t="s">
        <v>27</v>
      </c>
      <c r="K175" s="15" t="n">
        <v>865.895</v>
      </c>
      <c r="L175" s="16" t="n">
        <v>434099.57</v>
      </c>
      <c r="M175" s="0" t="n">
        <v>150202</v>
      </c>
      <c r="N175" s="14" t="s">
        <v>116</v>
      </c>
      <c r="O175" s="14" t="s">
        <v>74</v>
      </c>
      <c r="P175" s="14" t="s">
        <v>74</v>
      </c>
    </row>
    <row r="176" customFormat="false" ht="15" hidden="false" customHeight="false" outlineLevel="0" collapsed="false">
      <c r="A176" s="0" t="n">
        <v>77766557</v>
      </c>
      <c r="B176" s="0" t="n">
        <v>1</v>
      </c>
      <c r="C176" s="13" t="n">
        <v>45874</v>
      </c>
      <c r="D176" s="0" t="n">
        <v>2025</v>
      </c>
      <c r="E176" s="14" t="s">
        <v>38</v>
      </c>
      <c r="F176" s="14" t="s">
        <v>71</v>
      </c>
      <c r="G176" s="14" t="s">
        <v>72</v>
      </c>
      <c r="H176" s="14" t="s">
        <v>39</v>
      </c>
      <c r="I176" s="14" t="s">
        <v>16</v>
      </c>
      <c r="J176" s="14" t="s">
        <v>27</v>
      </c>
      <c r="K176" s="15" t="n">
        <v>1240.721</v>
      </c>
      <c r="L176" s="16" t="n">
        <v>484217.66</v>
      </c>
      <c r="M176" s="0" t="n">
        <v>131006</v>
      </c>
      <c r="N176" s="14" t="s">
        <v>142</v>
      </c>
      <c r="O176" s="14" t="s">
        <v>74</v>
      </c>
      <c r="P176" s="14" t="s">
        <v>74</v>
      </c>
    </row>
    <row r="177" customFormat="false" ht="15" hidden="false" customHeight="false" outlineLevel="0" collapsed="false">
      <c r="A177" s="0" t="n">
        <v>79393317</v>
      </c>
      <c r="B177" s="0" t="n">
        <v>1</v>
      </c>
      <c r="C177" s="13" t="n">
        <v>45889</v>
      </c>
      <c r="D177" s="0" t="n">
        <v>2025</v>
      </c>
      <c r="E177" s="14" t="s">
        <v>38</v>
      </c>
      <c r="F177" s="14" t="s">
        <v>71</v>
      </c>
      <c r="G177" s="14" t="s">
        <v>72</v>
      </c>
      <c r="H177" s="14" t="s">
        <v>15</v>
      </c>
      <c r="I177" s="14" t="s">
        <v>20</v>
      </c>
      <c r="J177" s="14" t="s">
        <v>24</v>
      </c>
      <c r="K177" s="15" t="n">
        <v>10698.24</v>
      </c>
      <c r="L177" s="16" t="n">
        <v>39486882.89</v>
      </c>
      <c r="M177" s="0" t="n">
        <v>190104</v>
      </c>
      <c r="N177" s="14" t="s">
        <v>155</v>
      </c>
      <c r="O177" s="14" t="s">
        <v>74</v>
      </c>
      <c r="P177" s="14" t="s">
        <v>74</v>
      </c>
    </row>
    <row r="178" customFormat="false" ht="15" hidden="false" customHeight="false" outlineLevel="0" collapsed="false">
      <c r="A178" s="0" t="n">
        <v>80170344</v>
      </c>
      <c r="B178" s="0" t="n">
        <v>1</v>
      </c>
      <c r="C178" s="13" t="n">
        <v>45896</v>
      </c>
      <c r="D178" s="0" t="n">
        <v>2025</v>
      </c>
      <c r="E178" s="14" t="s">
        <v>38</v>
      </c>
      <c r="F178" s="14" t="s">
        <v>71</v>
      </c>
      <c r="G178" s="14" t="s">
        <v>72</v>
      </c>
      <c r="H178" s="14" t="s">
        <v>30</v>
      </c>
      <c r="I178" s="14" t="s">
        <v>16</v>
      </c>
      <c r="J178" s="14" t="s">
        <v>27</v>
      </c>
      <c r="K178" s="15" t="n">
        <v>883.851</v>
      </c>
      <c r="L178" s="16" t="n">
        <v>458259.07</v>
      </c>
      <c r="M178" s="0" t="n">
        <v>150202</v>
      </c>
      <c r="N178" s="14" t="s">
        <v>148</v>
      </c>
      <c r="O178" s="14" t="s">
        <v>74</v>
      </c>
      <c r="P178" s="14" t="s">
        <v>74</v>
      </c>
    </row>
    <row r="179" customFormat="false" ht="15" hidden="false" customHeight="false" outlineLevel="0" collapsed="false">
      <c r="A179" s="0" t="n">
        <v>81065412</v>
      </c>
      <c r="B179" s="0" t="n">
        <v>1</v>
      </c>
      <c r="C179" s="13" t="n">
        <v>45905</v>
      </c>
      <c r="D179" s="0" t="n">
        <v>2025</v>
      </c>
      <c r="E179" s="14" t="s">
        <v>41</v>
      </c>
      <c r="F179" s="14" t="s">
        <v>71</v>
      </c>
      <c r="G179" s="14" t="s">
        <v>72</v>
      </c>
      <c r="H179" s="14" t="s">
        <v>15</v>
      </c>
      <c r="I179" s="14" t="s">
        <v>20</v>
      </c>
      <c r="J179" s="14" t="s">
        <v>17</v>
      </c>
      <c r="K179" s="15" t="n">
        <v>11683.92</v>
      </c>
      <c r="L179" s="16" t="n">
        <v>37700236.77</v>
      </c>
      <c r="M179" s="0" t="n">
        <v>190101</v>
      </c>
      <c r="N179" s="14" t="s">
        <v>79</v>
      </c>
      <c r="O179" s="14" t="s">
        <v>74</v>
      </c>
      <c r="P179" s="14" t="s">
        <v>74</v>
      </c>
    </row>
    <row r="180" customFormat="false" ht="28.35" hidden="false" customHeight="false" outlineLevel="0" collapsed="false">
      <c r="A180" s="0" t="n">
        <v>81601915</v>
      </c>
      <c r="B180" s="0" t="n">
        <v>1</v>
      </c>
      <c r="C180" s="13" t="n">
        <v>45910</v>
      </c>
      <c r="D180" s="0" t="n">
        <v>2025</v>
      </c>
      <c r="E180" s="14" t="s">
        <v>41</v>
      </c>
      <c r="F180" s="14" t="s">
        <v>71</v>
      </c>
      <c r="G180" s="14" t="s">
        <v>72</v>
      </c>
      <c r="H180" s="14" t="s">
        <v>15</v>
      </c>
      <c r="I180" s="14" t="s">
        <v>20</v>
      </c>
      <c r="J180" s="14" t="s">
        <v>27</v>
      </c>
      <c r="K180" s="15" t="n">
        <v>1562.756</v>
      </c>
      <c r="L180" s="16" t="n">
        <v>14807847.6</v>
      </c>
      <c r="M180" s="0" t="n">
        <v>190104</v>
      </c>
      <c r="N180" s="17" t="s">
        <v>199</v>
      </c>
      <c r="O180" s="14" t="s">
        <v>74</v>
      </c>
      <c r="P180" s="14" t="s">
        <v>74</v>
      </c>
    </row>
    <row r="181" customFormat="false" ht="15" hidden="false" customHeight="false" outlineLevel="0" collapsed="false">
      <c r="A181" s="0" t="n">
        <v>82080591</v>
      </c>
      <c r="B181" s="0" t="n">
        <v>1</v>
      </c>
      <c r="C181" s="13" t="n">
        <v>45915</v>
      </c>
      <c r="D181" s="0" t="n">
        <v>2025</v>
      </c>
      <c r="E181" s="14" t="s">
        <v>41</v>
      </c>
      <c r="F181" s="14" t="s">
        <v>106</v>
      </c>
      <c r="G181" s="14" t="s">
        <v>107</v>
      </c>
      <c r="H181" s="14" t="s">
        <v>39</v>
      </c>
      <c r="I181" s="14" t="s">
        <v>16</v>
      </c>
      <c r="J181" s="14" t="s">
        <v>137</v>
      </c>
      <c r="K181" s="15" t="n">
        <v>789.51</v>
      </c>
      <c r="L181" s="16" t="n">
        <v>395878</v>
      </c>
      <c r="M181" s="0" t="n">
        <v>130101</v>
      </c>
      <c r="N181" s="14" t="s">
        <v>200</v>
      </c>
      <c r="O181" s="14" t="s">
        <v>74</v>
      </c>
      <c r="P181" s="14" t="s">
        <v>74</v>
      </c>
    </row>
    <row r="182" customFormat="false" ht="15" hidden="false" customHeight="false" outlineLevel="0" collapsed="false">
      <c r="A182" s="0" t="n">
        <v>82609100</v>
      </c>
      <c r="B182" s="0" t="n">
        <v>1</v>
      </c>
      <c r="C182" s="13" t="n">
        <v>45920</v>
      </c>
      <c r="D182" s="0" t="n">
        <v>2025</v>
      </c>
      <c r="E182" s="14" t="s">
        <v>41</v>
      </c>
      <c r="F182" s="14" t="s">
        <v>106</v>
      </c>
      <c r="G182" s="14" t="s">
        <v>107</v>
      </c>
      <c r="H182" s="14" t="s">
        <v>30</v>
      </c>
      <c r="I182" s="14" t="s">
        <v>20</v>
      </c>
      <c r="J182" s="14" t="s">
        <v>27</v>
      </c>
      <c r="K182" s="15" t="n">
        <v>873.286</v>
      </c>
      <c r="L182" s="16" t="n">
        <v>497764.29</v>
      </c>
      <c r="M182" s="0" t="n">
        <v>150202</v>
      </c>
      <c r="N182" s="14" t="s">
        <v>201</v>
      </c>
      <c r="O182" s="14" t="s">
        <v>74</v>
      </c>
      <c r="P182" s="14" t="s">
        <v>74</v>
      </c>
    </row>
    <row r="183" customFormat="false" ht="28.35" hidden="false" customHeight="false" outlineLevel="0" collapsed="false">
      <c r="A183" s="0" t="n">
        <v>83951673</v>
      </c>
      <c r="B183" s="0" t="n">
        <v>1</v>
      </c>
      <c r="C183" s="13" t="n">
        <v>45933</v>
      </c>
      <c r="D183" s="0" t="n">
        <v>2025</v>
      </c>
      <c r="E183" s="14" t="s">
        <v>43</v>
      </c>
      <c r="F183" s="14" t="s">
        <v>71</v>
      </c>
      <c r="G183" s="14" t="s">
        <v>72</v>
      </c>
      <c r="H183" s="14" t="s">
        <v>15</v>
      </c>
      <c r="I183" s="14" t="s">
        <v>20</v>
      </c>
      <c r="J183" s="14" t="s">
        <v>27</v>
      </c>
      <c r="K183" s="15" t="n">
        <v>1377.629</v>
      </c>
      <c r="L183" s="16" t="n">
        <v>13415006.79</v>
      </c>
      <c r="M183" s="0" t="n">
        <v>190104</v>
      </c>
      <c r="N183" s="17" t="s">
        <v>202</v>
      </c>
      <c r="O183" s="14" t="s">
        <v>74</v>
      </c>
      <c r="P183" s="14" t="s">
        <v>74</v>
      </c>
    </row>
    <row r="184" customFormat="false" ht="15" hidden="false" customHeight="false" outlineLevel="0" collapsed="false">
      <c r="A184" s="0" t="n">
        <v>84388901</v>
      </c>
      <c r="B184" s="0" t="n">
        <v>1</v>
      </c>
      <c r="C184" s="13" t="n">
        <v>45938</v>
      </c>
      <c r="D184" s="0" t="n">
        <v>2025</v>
      </c>
      <c r="E184" s="14" t="s">
        <v>43</v>
      </c>
      <c r="F184" s="14" t="s">
        <v>71</v>
      </c>
      <c r="G184" s="14" t="s">
        <v>72</v>
      </c>
      <c r="H184" s="14" t="s">
        <v>30</v>
      </c>
      <c r="I184" s="14" t="s">
        <v>16</v>
      </c>
      <c r="J184" s="14" t="s">
        <v>27</v>
      </c>
      <c r="K184" s="15" t="n">
        <v>906.522</v>
      </c>
      <c r="L184" s="16" t="n">
        <v>533325.02</v>
      </c>
      <c r="M184" s="0" t="n">
        <v>150202</v>
      </c>
      <c r="N184" s="14" t="s">
        <v>148</v>
      </c>
      <c r="O184" s="14" t="s">
        <v>74</v>
      </c>
      <c r="P184" s="14" t="s">
        <v>74</v>
      </c>
    </row>
    <row r="185" customFormat="false" ht="15" hidden="false" customHeight="false" outlineLevel="0" collapsed="false">
      <c r="A185" s="0" t="n">
        <v>84744527</v>
      </c>
      <c r="B185" s="0" t="n">
        <v>1</v>
      </c>
      <c r="C185" s="13" t="n">
        <v>45940</v>
      </c>
      <c r="D185" s="0" t="n">
        <v>2025</v>
      </c>
      <c r="E185" s="14" t="s">
        <v>43</v>
      </c>
      <c r="F185" s="14" t="s">
        <v>71</v>
      </c>
      <c r="G185" s="14" t="s">
        <v>72</v>
      </c>
      <c r="H185" s="14" t="s">
        <v>23</v>
      </c>
      <c r="I185" s="14" t="s">
        <v>20</v>
      </c>
      <c r="J185" s="14" t="s">
        <v>31</v>
      </c>
      <c r="K185" s="15" t="n">
        <v>223.216</v>
      </c>
      <c r="L185" s="16" t="n">
        <v>663600.07</v>
      </c>
      <c r="M185" s="0" t="n">
        <v>110301</v>
      </c>
      <c r="N185" s="14" t="s">
        <v>203</v>
      </c>
      <c r="O185" s="14" t="s">
        <v>74</v>
      </c>
      <c r="P185" s="14" t="s">
        <v>74</v>
      </c>
    </row>
    <row r="186" customFormat="false" ht="28.35" hidden="false" customHeight="false" outlineLevel="0" collapsed="false">
      <c r="A186" s="0" t="n">
        <v>88022067</v>
      </c>
      <c r="B186" s="0" t="n">
        <v>1</v>
      </c>
      <c r="C186" s="13" t="n">
        <v>45969</v>
      </c>
      <c r="D186" s="0" t="n">
        <v>2025</v>
      </c>
      <c r="E186" s="14" t="s">
        <v>45</v>
      </c>
      <c r="F186" s="14" t="s">
        <v>71</v>
      </c>
      <c r="G186" s="14" t="s">
        <v>72</v>
      </c>
      <c r="H186" s="14" t="s">
        <v>42</v>
      </c>
      <c r="I186" s="14" t="s">
        <v>20</v>
      </c>
      <c r="J186" s="14" t="s">
        <v>27</v>
      </c>
      <c r="K186" s="15" t="n">
        <v>192.863</v>
      </c>
      <c r="L186" s="16" t="n">
        <v>2046490.46</v>
      </c>
      <c r="M186" s="0" t="n">
        <v>60202</v>
      </c>
      <c r="N186" s="17" t="s">
        <v>204</v>
      </c>
      <c r="O186" s="14" t="s">
        <v>74</v>
      </c>
      <c r="P186" s="14" t="s">
        <v>74</v>
      </c>
    </row>
    <row r="187" customFormat="false" ht="15" hidden="false" customHeight="false" outlineLevel="0" collapsed="false">
      <c r="A187" s="0" t="n">
        <v>91314342</v>
      </c>
      <c r="B187" s="0" t="n">
        <v>1</v>
      </c>
      <c r="C187" s="13" t="n">
        <v>45994</v>
      </c>
      <c r="D187" s="0" t="n">
        <v>2025</v>
      </c>
      <c r="E187" s="14" t="s">
        <v>46</v>
      </c>
      <c r="F187" s="14" t="s">
        <v>106</v>
      </c>
      <c r="G187" s="14" t="s">
        <v>107</v>
      </c>
      <c r="H187" s="14" t="s">
        <v>39</v>
      </c>
      <c r="I187" s="14" t="s">
        <v>16</v>
      </c>
      <c r="J187" s="14" t="s">
        <v>137</v>
      </c>
      <c r="K187" s="15" t="n">
        <v>97.973</v>
      </c>
      <c r="L187" s="16" t="n">
        <v>84158.81</v>
      </c>
      <c r="M187" s="0" t="n">
        <v>130105</v>
      </c>
      <c r="N187" s="14" t="s">
        <v>205</v>
      </c>
      <c r="O187" s="14" t="s">
        <v>74</v>
      </c>
      <c r="P187" s="14" t="s">
        <v>74</v>
      </c>
    </row>
    <row r="188" customFormat="false" ht="15" hidden="false" customHeight="false" outlineLevel="0" collapsed="false">
      <c r="A188" s="0" t="n">
        <v>93450383</v>
      </c>
      <c r="B188" s="0" t="n">
        <v>1</v>
      </c>
      <c r="C188" s="13" t="n">
        <v>46009</v>
      </c>
      <c r="D188" s="0" t="n">
        <v>2025</v>
      </c>
      <c r="E188" s="14" t="s">
        <v>46</v>
      </c>
      <c r="F188" s="14" t="s">
        <v>71</v>
      </c>
      <c r="G188" s="14" t="s">
        <v>72</v>
      </c>
      <c r="H188" s="14" t="s">
        <v>19</v>
      </c>
      <c r="I188" s="14" t="s">
        <v>20</v>
      </c>
      <c r="J188" s="14" t="s">
        <v>17</v>
      </c>
      <c r="K188" s="15" t="n">
        <v>11659.74</v>
      </c>
      <c r="L188" s="16" t="n">
        <v>43855023.18</v>
      </c>
      <c r="M188" s="0" t="n">
        <v>120805</v>
      </c>
      <c r="N188" s="14" t="s">
        <v>79</v>
      </c>
      <c r="O188" s="14" t="s">
        <v>74</v>
      </c>
      <c r="P188" s="14" t="s">
        <v>74</v>
      </c>
    </row>
    <row r="189" customFormat="false" ht="15" hidden="false" customHeight="false" outlineLevel="0" collapsed="false">
      <c r="A189" s="0" t="n">
        <v>95841096</v>
      </c>
      <c r="B189" s="0" t="n">
        <v>1</v>
      </c>
      <c r="C189" s="13" t="n">
        <v>46028</v>
      </c>
      <c r="D189" s="0" t="n">
        <v>2026</v>
      </c>
      <c r="E189" s="14" t="s">
        <v>47</v>
      </c>
      <c r="F189" s="14" t="s">
        <v>71</v>
      </c>
      <c r="G189" s="14" t="s">
        <v>72</v>
      </c>
      <c r="H189" s="14" t="s">
        <v>30</v>
      </c>
      <c r="I189" s="14" t="s">
        <v>20</v>
      </c>
      <c r="J189" s="14" t="s">
        <v>27</v>
      </c>
      <c r="K189" s="15" t="n">
        <v>965.651</v>
      </c>
      <c r="L189" s="16" t="n">
        <v>863788</v>
      </c>
      <c r="M189" s="0" t="n">
        <v>150202</v>
      </c>
      <c r="N189" s="14" t="s">
        <v>206</v>
      </c>
      <c r="O189" s="14" t="s">
        <v>74</v>
      </c>
      <c r="P189" s="14" t="s">
        <v>74</v>
      </c>
    </row>
    <row r="190" customFormat="false" ht="15" hidden="false" customHeight="false" outlineLevel="0" collapsed="false">
      <c r="A190" s="0" t="n">
        <v>96677716</v>
      </c>
      <c r="B190" s="0" t="n">
        <v>1</v>
      </c>
      <c r="C190" s="13" t="n">
        <v>46035</v>
      </c>
      <c r="D190" s="0" t="n">
        <v>2026</v>
      </c>
      <c r="E190" s="14" t="s">
        <v>47</v>
      </c>
      <c r="F190" s="14" t="s">
        <v>71</v>
      </c>
      <c r="G190" s="14" t="s">
        <v>72</v>
      </c>
      <c r="H190" s="14" t="s">
        <v>30</v>
      </c>
      <c r="I190" s="14" t="s">
        <v>20</v>
      </c>
      <c r="J190" s="14" t="s">
        <v>27</v>
      </c>
      <c r="K190" s="15" t="n">
        <v>916.977</v>
      </c>
      <c r="L190" s="16" t="n">
        <v>689627.56</v>
      </c>
      <c r="M190" s="0" t="n">
        <v>150202</v>
      </c>
      <c r="N190" s="14" t="s">
        <v>207</v>
      </c>
      <c r="O190" s="14" t="s">
        <v>74</v>
      </c>
      <c r="P190" s="14" t="s">
        <v>74</v>
      </c>
    </row>
    <row r="191" customFormat="false" ht="15" hidden="false" customHeight="false" outlineLevel="0" collapsed="false">
      <c r="A191" s="0" t="n">
        <v>102281664</v>
      </c>
      <c r="B191" s="0" t="n">
        <v>1</v>
      </c>
      <c r="C191" s="13" t="n">
        <v>46073</v>
      </c>
      <c r="D191" s="0" t="n">
        <v>2026</v>
      </c>
      <c r="E191" s="14" t="s">
        <v>48</v>
      </c>
      <c r="F191" s="14" t="s">
        <v>103</v>
      </c>
      <c r="G191" s="14" t="s">
        <v>104</v>
      </c>
      <c r="H191" s="14" t="s">
        <v>85</v>
      </c>
      <c r="I191" s="14" t="s">
        <v>20</v>
      </c>
      <c r="J191" s="14" t="s">
        <v>40</v>
      </c>
      <c r="K191" s="15" t="n">
        <v>23.78</v>
      </c>
      <c r="L191" s="16" t="n">
        <v>878712.6</v>
      </c>
      <c r="M191" s="0" t="n">
        <v>80801</v>
      </c>
      <c r="N191" s="14" t="s">
        <v>208</v>
      </c>
      <c r="O191" s="14" t="s">
        <v>74</v>
      </c>
      <c r="P191" s="14" t="s">
        <v>74</v>
      </c>
    </row>
    <row r="192" customFormat="false" ht="15" hidden="false" customHeight="false" outlineLevel="0" collapsed="false">
      <c r="A192" s="0" t="n">
        <v>102281550</v>
      </c>
      <c r="B192" s="0" t="n">
        <v>1</v>
      </c>
      <c r="C192" s="13" t="n">
        <v>46073</v>
      </c>
      <c r="D192" s="0" t="n">
        <v>2026</v>
      </c>
      <c r="E192" s="14" t="s">
        <v>48</v>
      </c>
      <c r="F192" s="14" t="s">
        <v>103</v>
      </c>
      <c r="G192" s="14" t="s">
        <v>104</v>
      </c>
      <c r="H192" s="14" t="s">
        <v>85</v>
      </c>
      <c r="I192" s="14" t="s">
        <v>20</v>
      </c>
      <c r="J192" s="14" t="s">
        <v>40</v>
      </c>
      <c r="K192" s="15" t="n">
        <v>22.81</v>
      </c>
      <c r="L192" s="16" t="n">
        <v>34067.7</v>
      </c>
      <c r="M192" s="0" t="n">
        <v>80801</v>
      </c>
      <c r="N192" s="14" t="s">
        <v>209</v>
      </c>
      <c r="O192" s="14" t="s">
        <v>74</v>
      </c>
      <c r="P192" s="14" t="s">
        <v>74</v>
      </c>
    </row>
    <row r="193" customFormat="false" ht="15" hidden="false" customHeight="false" outlineLevel="0" collapsed="false">
      <c r="A193" s="0" t="n">
        <v>85841424</v>
      </c>
      <c r="B193" s="0" t="n">
        <v>1</v>
      </c>
      <c r="C193" s="13" t="n">
        <v>45951</v>
      </c>
      <c r="D193" s="0" t="n">
        <v>2025</v>
      </c>
      <c r="E193" s="14" t="s">
        <v>43</v>
      </c>
      <c r="F193" s="14" t="s">
        <v>71</v>
      </c>
      <c r="G193" s="14" t="s">
        <v>72</v>
      </c>
      <c r="H193" s="14" t="s">
        <v>30</v>
      </c>
      <c r="I193" s="14" t="s">
        <v>16</v>
      </c>
      <c r="J193" s="14" t="s">
        <v>27</v>
      </c>
      <c r="K193" s="15" t="n">
        <v>909.532</v>
      </c>
      <c r="L193" s="16" t="n">
        <v>529756.91</v>
      </c>
      <c r="M193" s="0" t="n">
        <v>150202</v>
      </c>
      <c r="N193" s="14" t="s">
        <v>148</v>
      </c>
      <c r="O193" s="14" t="s">
        <v>74</v>
      </c>
      <c r="P193" s="14" t="s">
        <v>74</v>
      </c>
    </row>
    <row r="194" customFormat="false" ht="15" hidden="false" customHeight="false" outlineLevel="0" collapsed="false">
      <c r="A194" s="0" t="n">
        <v>86219356</v>
      </c>
      <c r="B194" s="0" t="n">
        <v>1</v>
      </c>
      <c r="C194" s="13" t="n">
        <v>45954</v>
      </c>
      <c r="D194" s="0" t="n">
        <v>2025</v>
      </c>
      <c r="E194" s="14" t="s">
        <v>43</v>
      </c>
      <c r="F194" s="14" t="s">
        <v>71</v>
      </c>
      <c r="G194" s="14" t="s">
        <v>72</v>
      </c>
      <c r="H194" s="14" t="s">
        <v>19</v>
      </c>
      <c r="I194" s="14" t="s">
        <v>20</v>
      </c>
      <c r="J194" s="14" t="s">
        <v>17</v>
      </c>
      <c r="K194" s="15" t="n">
        <v>11951.41</v>
      </c>
      <c r="L194" s="16" t="n">
        <v>40321126.28</v>
      </c>
      <c r="M194" s="0" t="n">
        <v>120805</v>
      </c>
      <c r="N194" s="14" t="s">
        <v>79</v>
      </c>
      <c r="O194" s="14" t="s">
        <v>74</v>
      </c>
      <c r="P194" s="14" t="s">
        <v>74</v>
      </c>
    </row>
    <row r="195" customFormat="false" ht="15" hidden="false" customHeight="false" outlineLevel="0" collapsed="false">
      <c r="A195" s="0" t="n">
        <v>87153748</v>
      </c>
      <c r="B195" s="0" t="n">
        <v>1</v>
      </c>
      <c r="C195" s="13" t="n">
        <v>45962</v>
      </c>
      <c r="D195" s="0" t="n">
        <v>2025</v>
      </c>
      <c r="E195" s="14" t="s">
        <v>45</v>
      </c>
      <c r="F195" s="14" t="s">
        <v>71</v>
      </c>
      <c r="G195" s="14" t="s">
        <v>72</v>
      </c>
      <c r="H195" s="14" t="s">
        <v>30</v>
      </c>
      <c r="I195" s="14" t="s">
        <v>20</v>
      </c>
      <c r="J195" s="14" t="s">
        <v>27</v>
      </c>
      <c r="K195" s="15" t="n">
        <v>930.426</v>
      </c>
      <c r="L195" s="16" t="n">
        <v>592100.91</v>
      </c>
      <c r="M195" s="0" t="n">
        <v>150202</v>
      </c>
      <c r="N195" s="14" t="s">
        <v>210</v>
      </c>
      <c r="O195" s="14" t="s">
        <v>74</v>
      </c>
      <c r="P195" s="14" t="s">
        <v>74</v>
      </c>
    </row>
    <row r="196" customFormat="false" ht="15" hidden="false" customHeight="false" outlineLevel="0" collapsed="false">
      <c r="A196" s="0" t="n">
        <v>87465602</v>
      </c>
      <c r="B196" s="0" t="n">
        <v>1</v>
      </c>
      <c r="C196" s="13" t="n">
        <v>45965</v>
      </c>
      <c r="D196" s="0" t="n">
        <v>2025</v>
      </c>
      <c r="E196" s="14" t="s">
        <v>45</v>
      </c>
      <c r="F196" s="14" t="s">
        <v>71</v>
      </c>
      <c r="G196" s="14" t="s">
        <v>72</v>
      </c>
      <c r="H196" s="14" t="s">
        <v>19</v>
      </c>
      <c r="I196" s="14" t="s">
        <v>20</v>
      </c>
      <c r="J196" s="14" t="s">
        <v>17</v>
      </c>
      <c r="K196" s="15" t="n">
        <v>11663.69</v>
      </c>
      <c r="L196" s="16" t="n">
        <v>44116842.23</v>
      </c>
      <c r="M196" s="0" t="n">
        <v>120805</v>
      </c>
      <c r="N196" s="14" t="s">
        <v>79</v>
      </c>
      <c r="O196" s="14" t="s">
        <v>74</v>
      </c>
      <c r="P196" s="14" t="s">
        <v>74</v>
      </c>
    </row>
    <row r="197" customFormat="false" ht="15" hidden="false" customHeight="false" outlineLevel="0" collapsed="false">
      <c r="A197" s="0" t="n">
        <v>87597801</v>
      </c>
      <c r="B197" s="0" t="n">
        <v>1</v>
      </c>
      <c r="C197" s="13" t="n">
        <v>45966</v>
      </c>
      <c r="D197" s="0" t="n">
        <v>2025</v>
      </c>
      <c r="E197" s="14" t="s">
        <v>45</v>
      </c>
      <c r="F197" s="14" t="s">
        <v>71</v>
      </c>
      <c r="G197" s="14" t="s">
        <v>72</v>
      </c>
      <c r="H197" s="14" t="s">
        <v>30</v>
      </c>
      <c r="I197" s="14" t="s">
        <v>16</v>
      </c>
      <c r="J197" s="14" t="s">
        <v>27</v>
      </c>
      <c r="K197" s="15" t="n">
        <v>960.294</v>
      </c>
      <c r="L197" s="16" t="n">
        <v>620287.82</v>
      </c>
      <c r="M197" s="0" t="n">
        <v>150202</v>
      </c>
      <c r="N197" s="14" t="s">
        <v>148</v>
      </c>
      <c r="O197" s="14" t="s">
        <v>74</v>
      </c>
      <c r="P197" s="14" t="s">
        <v>74</v>
      </c>
    </row>
    <row r="198" customFormat="false" ht="15" hidden="false" customHeight="false" outlineLevel="0" collapsed="false">
      <c r="A198" s="0" t="n">
        <v>87730638</v>
      </c>
      <c r="B198" s="0" t="n">
        <v>1</v>
      </c>
      <c r="C198" s="13" t="n">
        <v>45967</v>
      </c>
      <c r="D198" s="0" t="n">
        <v>2025</v>
      </c>
      <c r="E198" s="14" t="s">
        <v>45</v>
      </c>
      <c r="F198" s="14" t="s">
        <v>71</v>
      </c>
      <c r="G198" s="14" t="s">
        <v>72</v>
      </c>
      <c r="H198" s="14" t="s">
        <v>15</v>
      </c>
      <c r="I198" s="14" t="s">
        <v>20</v>
      </c>
      <c r="J198" s="14" t="s">
        <v>24</v>
      </c>
      <c r="K198" s="15" t="n">
        <v>10998.184</v>
      </c>
      <c r="L198" s="16" t="n">
        <v>43192891.68</v>
      </c>
      <c r="M198" s="0" t="n">
        <v>190104</v>
      </c>
      <c r="N198" s="14" t="s">
        <v>211</v>
      </c>
      <c r="O198" s="14" t="s">
        <v>74</v>
      </c>
      <c r="P198" s="14" t="s">
        <v>74</v>
      </c>
    </row>
    <row r="199" customFormat="false" ht="15" hidden="false" customHeight="false" outlineLevel="0" collapsed="false">
      <c r="A199" s="0" t="n">
        <v>88224554</v>
      </c>
      <c r="B199" s="0" t="n">
        <v>1</v>
      </c>
      <c r="C199" s="13" t="n">
        <v>45971</v>
      </c>
      <c r="D199" s="0" t="n">
        <v>2025</v>
      </c>
      <c r="E199" s="14" t="s">
        <v>45</v>
      </c>
      <c r="F199" s="14" t="s">
        <v>71</v>
      </c>
      <c r="G199" s="14" t="s">
        <v>72</v>
      </c>
      <c r="H199" s="14" t="s">
        <v>30</v>
      </c>
      <c r="I199" s="14" t="s">
        <v>16</v>
      </c>
      <c r="J199" s="14" t="s">
        <v>27</v>
      </c>
      <c r="K199" s="15" t="n">
        <v>904.292</v>
      </c>
      <c r="L199" s="16" t="n">
        <v>543998.64</v>
      </c>
      <c r="M199" s="0" t="n">
        <v>150202</v>
      </c>
      <c r="N199" s="14" t="s">
        <v>148</v>
      </c>
      <c r="O199" s="14" t="s">
        <v>74</v>
      </c>
      <c r="P199" s="14" t="s">
        <v>74</v>
      </c>
    </row>
    <row r="200" customFormat="false" ht="15" hidden="false" customHeight="false" outlineLevel="0" collapsed="false">
      <c r="A200" s="0" t="n">
        <v>89728620</v>
      </c>
      <c r="B200" s="0" t="n">
        <v>1</v>
      </c>
      <c r="C200" s="13" t="n">
        <v>45982</v>
      </c>
      <c r="D200" s="0" t="n">
        <v>2025</v>
      </c>
      <c r="E200" s="14" t="s">
        <v>45</v>
      </c>
      <c r="F200" s="14" t="s">
        <v>71</v>
      </c>
      <c r="G200" s="14" t="s">
        <v>72</v>
      </c>
      <c r="H200" s="14" t="s">
        <v>19</v>
      </c>
      <c r="I200" s="14" t="s">
        <v>20</v>
      </c>
      <c r="J200" s="14" t="s">
        <v>17</v>
      </c>
      <c r="K200" s="15" t="n">
        <v>11726.48</v>
      </c>
      <c r="L200" s="16" t="n">
        <v>43815866.89</v>
      </c>
      <c r="M200" s="0" t="n">
        <v>120805</v>
      </c>
      <c r="N200" s="14" t="s">
        <v>79</v>
      </c>
      <c r="O200" s="14" t="s">
        <v>74</v>
      </c>
      <c r="P200" s="14" t="s">
        <v>74</v>
      </c>
    </row>
    <row r="201" customFormat="false" ht="15" hidden="false" customHeight="false" outlineLevel="0" collapsed="false">
      <c r="A201" s="0" t="n">
        <v>90734623</v>
      </c>
      <c r="B201" s="0" t="n">
        <v>1</v>
      </c>
      <c r="C201" s="13" t="n">
        <v>45989</v>
      </c>
      <c r="D201" s="0" t="n">
        <v>2025</v>
      </c>
      <c r="E201" s="14" t="s">
        <v>45</v>
      </c>
      <c r="F201" s="14" t="s">
        <v>71</v>
      </c>
      <c r="G201" s="14" t="s">
        <v>72</v>
      </c>
      <c r="H201" s="14" t="s">
        <v>15</v>
      </c>
      <c r="I201" s="14" t="s">
        <v>20</v>
      </c>
      <c r="J201" s="14" t="s">
        <v>24</v>
      </c>
      <c r="K201" s="15" t="n">
        <v>11721.17</v>
      </c>
      <c r="L201" s="16" t="n">
        <v>41295099.31</v>
      </c>
      <c r="M201" s="0" t="n">
        <v>190104</v>
      </c>
      <c r="N201" s="14" t="s">
        <v>212</v>
      </c>
      <c r="O201" s="14" t="s">
        <v>74</v>
      </c>
      <c r="P201" s="14" t="s">
        <v>74</v>
      </c>
    </row>
    <row r="202" customFormat="false" ht="15" hidden="false" customHeight="false" outlineLevel="0" collapsed="false">
      <c r="A202" s="0" t="n">
        <v>90872000</v>
      </c>
      <c r="B202" s="0" t="n">
        <v>1</v>
      </c>
      <c r="C202" s="13" t="n">
        <v>45990</v>
      </c>
      <c r="D202" s="0" t="n">
        <v>2025</v>
      </c>
      <c r="E202" s="14" t="s">
        <v>45</v>
      </c>
      <c r="F202" s="14" t="s">
        <v>71</v>
      </c>
      <c r="G202" s="14" t="s">
        <v>72</v>
      </c>
      <c r="H202" s="14" t="s">
        <v>30</v>
      </c>
      <c r="I202" s="14" t="s">
        <v>20</v>
      </c>
      <c r="J202" s="14" t="s">
        <v>27</v>
      </c>
      <c r="K202" s="15" t="n">
        <v>903.543</v>
      </c>
      <c r="L202" s="16" t="n">
        <v>550487</v>
      </c>
      <c r="M202" s="0" t="n">
        <v>150202</v>
      </c>
      <c r="N202" s="14" t="s">
        <v>213</v>
      </c>
      <c r="O202" s="14" t="s">
        <v>74</v>
      </c>
      <c r="P202" s="14" t="s">
        <v>74</v>
      </c>
    </row>
    <row r="203" customFormat="false" ht="28.35" hidden="false" customHeight="false" outlineLevel="0" collapsed="false">
      <c r="A203" s="0" t="n">
        <v>91320761</v>
      </c>
      <c r="B203" s="0" t="n">
        <v>1</v>
      </c>
      <c r="C203" s="13" t="n">
        <v>45994</v>
      </c>
      <c r="D203" s="0" t="n">
        <v>2025</v>
      </c>
      <c r="E203" s="14" t="s">
        <v>46</v>
      </c>
      <c r="F203" s="14" t="s">
        <v>71</v>
      </c>
      <c r="G203" s="14" t="s">
        <v>72</v>
      </c>
      <c r="H203" s="14" t="s">
        <v>44</v>
      </c>
      <c r="I203" s="14" t="s">
        <v>20</v>
      </c>
      <c r="J203" s="14" t="s">
        <v>27</v>
      </c>
      <c r="K203" s="15" t="n">
        <v>745.611</v>
      </c>
      <c r="L203" s="16" t="n">
        <v>1898011.21</v>
      </c>
      <c r="M203" s="0" t="n">
        <v>200210</v>
      </c>
      <c r="N203" s="17" t="s">
        <v>214</v>
      </c>
      <c r="O203" s="14" t="s">
        <v>74</v>
      </c>
      <c r="P203" s="14" t="s">
        <v>74</v>
      </c>
    </row>
    <row r="204" customFormat="false" ht="15" hidden="false" customHeight="false" outlineLevel="0" collapsed="false">
      <c r="A204" s="0" t="n">
        <v>91649140</v>
      </c>
      <c r="B204" s="0" t="n">
        <v>1</v>
      </c>
      <c r="C204" s="13" t="n">
        <v>45996</v>
      </c>
      <c r="D204" s="0" t="n">
        <v>2025</v>
      </c>
      <c r="E204" s="14" t="s">
        <v>46</v>
      </c>
      <c r="F204" s="14" t="s">
        <v>71</v>
      </c>
      <c r="G204" s="14" t="s">
        <v>72</v>
      </c>
      <c r="H204" s="14" t="s">
        <v>15</v>
      </c>
      <c r="I204" s="14" t="s">
        <v>20</v>
      </c>
      <c r="J204" s="14" t="s">
        <v>24</v>
      </c>
      <c r="K204" s="15" t="n">
        <v>11655.43</v>
      </c>
      <c r="L204" s="16" t="n">
        <v>42706143.23</v>
      </c>
      <c r="M204" s="0" t="n">
        <v>190104</v>
      </c>
      <c r="N204" s="14" t="s">
        <v>183</v>
      </c>
      <c r="O204" s="14" t="s">
        <v>74</v>
      </c>
      <c r="P204" s="14" t="s">
        <v>74</v>
      </c>
    </row>
    <row r="205" customFormat="false" ht="15" hidden="false" customHeight="false" outlineLevel="0" collapsed="false">
      <c r="A205" s="0" t="n">
        <v>92507897</v>
      </c>
      <c r="B205" s="0" t="n">
        <v>1</v>
      </c>
      <c r="C205" s="13" t="n">
        <v>46003</v>
      </c>
      <c r="D205" s="0" t="n">
        <v>2025</v>
      </c>
      <c r="E205" s="14" t="s">
        <v>46</v>
      </c>
      <c r="F205" s="14" t="s">
        <v>71</v>
      </c>
      <c r="G205" s="14" t="s">
        <v>72</v>
      </c>
      <c r="H205" s="14" t="s">
        <v>30</v>
      </c>
      <c r="I205" s="14" t="s">
        <v>20</v>
      </c>
      <c r="J205" s="14" t="s">
        <v>27</v>
      </c>
      <c r="K205" s="15" t="n">
        <v>302.727</v>
      </c>
      <c r="L205" s="16" t="n">
        <v>577511.54</v>
      </c>
      <c r="M205" s="0" t="n">
        <v>150202</v>
      </c>
      <c r="N205" s="14" t="s">
        <v>215</v>
      </c>
      <c r="O205" s="14" t="s">
        <v>74</v>
      </c>
      <c r="P205" s="14" t="s">
        <v>74</v>
      </c>
    </row>
    <row r="206" customFormat="false" ht="15" hidden="false" customHeight="false" outlineLevel="0" collapsed="false">
      <c r="A206" s="0" t="n">
        <v>92684527</v>
      </c>
      <c r="B206" s="0" t="n">
        <v>1</v>
      </c>
      <c r="C206" s="13" t="n">
        <v>46003</v>
      </c>
      <c r="D206" s="0" t="n">
        <v>2025</v>
      </c>
      <c r="E206" s="14" t="s">
        <v>46</v>
      </c>
      <c r="F206" s="14" t="s">
        <v>71</v>
      </c>
      <c r="G206" s="14" t="s">
        <v>72</v>
      </c>
      <c r="H206" s="14" t="s">
        <v>19</v>
      </c>
      <c r="I206" s="14" t="s">
        <v>20</v>
      </c>
      <c r="J206" s="14" t="s">
        <v>17</v>
      </c>
      <c r="K206" s="15" t="n">
        <v>9761.93</v>
      </c>
      <c r="L206" s="16" t="n">
        <v>41242744.79</v>
      </c>
      <c r="M206" s="0" t="n">
        <v>120805</v>
      </c>
      <c r="N206" s="14" t="s">
        <v>79</v>
      </c>
      <c r="O206" s="14" t="s">
        <v>74</v>
      </c>
      <c r="P206" s="14" t="s">
        <v>74</v>
      </c>
    </row>
    <row r="207" customFormat="false" ht="28.35" hidden="false" customHeight="false" outlineLevel="0" collapsed="false">
      <c r="A207" s="0" t="n">
        <v>93453642</v>
      </c>
      <c r="B207" s="0" t="n">
        <v>1</v>
      </c>
      <c r="C207" s="13" t="n">
        <v>46009</v>
      </c>
      <c r="D207" s="0" t="n">
        <v>2025</v>
      </c>
      <c r="E207" s="14" t="s">
        <v>46</v>
      </c>
      <c r="F207" s="14" t="s">
        <v>71</v>
      </c>
      <c r="G207" s="14" t="s">
        <v>72</v>
      </c>
      <c r="H207" s="14" t="s">
        <v>216</v>
      </c>
      <c r="I207" s="14" t="s">
        <v>20</v>
      </c>
      <c r="J207" s="14" t="s">
        <v>27</v>
      </c>
      <c r="K207" s="15" t="n">
        <v>1397.04</v>
      </c>
      <c r="L207" s="16" t="n">
        <v>6625705.32</v>
      </c>
      <c r="M207" s="0" t="n">
        <v>101006</v>
      </c>
      <c r="N207" s="17" t="s">
        <v>217</v>
      </c>
      <c r="O207" s="14" t="s">
        <v>74</v>
      </c>
      <c r="P207" s="14" t="s">
        <v>74</v>
      </c>
    </row>
    <row r="208" customFormat="false" ht="15" hidden="false" customHeight="false" outlineLevel="0" collapsed="false">
      <c r="A208" s="0" t="n">
        <v>94179464</v>
      </c>
      <c r="B208" s="0" t="n">
        <v>1</v>
      </c>
      <c r="C208" s="13" t="n">
        <v>46014</v>
      </c>
      <c r="D208" s="0" t="n">
        <v>2025</v>
      </c>
      <c r="E208" s="14" t="s">
        <v>46</v>
      </c>
      <c r="F208" s="14" t="s">
        <v>71</v>
      </c>
      <c r="G208" s="14" t="s">
        <v>72</v>
      </c>
      <c r="H208" s="14" t="s">
        <v>30</v>
      </c>
      <c r="I208" s="14" t="s">
        <v>20</v>
      </c>
      <c r="J208" s="14" t="s">
        <v>27</v>
      </c>
      <c r="K208" s="15" t="n">
        <v>906.19</v>
      </c>
      <c r="L208" s="16" t="n">
        <v>622235.89</v>
      </c>
      <c r="M208" s="0" t="n">
        <v>150202</v>
      </c>
      <c r="N208" s="14" t="s">
        <v>218</v>
      </c>
      <c r="O208" s="14" t="s">
        <v>74</v>
      </c>
      <c r="P208" s="14" t="s">
        <v>74</v>
      </c>
    </row>
    <row r="209" customFormat="false" ht="15" hidden="false" customHeight="false" outlineLevel="0" collapsed="false">
      <c r="A209" s="0" t="n">
        <v>95157334</v>
      </c>
      <c r="B209" s="0" t="n">
        <v>1</v>
      </c>
      <c r="C209" s="13" t="n">
        <v>46022</v>
      </c>
      <c r="D209" s="0" t="n">
        <v>2025</v>
      </c>
      <c r="E209" s="14" t="s">
        <v>46</v>
      </c>
      <c r="F209" s="14" t="s">
        <v>71</v>
      </c>
      <c r="G209" s="14" t="s">
        <v>72</v>
      </c>
      <c r="H209" s="14" t="s">
        <v>30</v>
      </c>
      <c r="I209" s="14" t="s">
        <v>20</v>
      </c>
      <c r="J209" s="14" t="s">
        <v>27</v>
      </c>
      <c r="K209" s="15" t="n">
        <v>897.431</v>
      </c>
      <c r="L209" s="16" t="n">
        <v>685902.59</v>
      </c>
      <c r="M209" s="0" t="n">
        <v>150202</v>
      </c>
      <c r="N209" s="14" t="s">
        <v>219</v>
      </c>
      <c r="O209" s="14" t="s">
        <v>74</v>
      </c>
      <c r="P209" s="14" t="s">
        <v>74</v>
      </c>
    </row>
    <row r="210" customFormat="false" ht="28.35" hidden="false" customHeight="false" outlineLevel="0" collapsed="false">
      <c r="A210" s="0" t="n">
        <v>95831424</v>
      </c>
      <c r="B210" s="0" t="n">
        <v>1</v>
      </c>
      <c r="C210" s="13" t="n">
        <v>46028</v>
      </c>
      <c r="D210" s="0" t="n">
        <v>2026</v>
      </c>
      <c r="E210" s="14" t="s">
        <v>47</v>
      </c>
      <c r="F210" s="14" t="s">
        <v>71</v>
      </c>
      <c r="G210" s="14" t="s">
        <v>72</v>
      </c>
      <c r="H210" s="14" t="s">
        <v>36</v>
      </c>
      <c r="I210" s="14" t="s">
        <v>20</v>
      </c>
      <c r="J210" s="14" t="s">
        <v>27</v>
      </c>
      <c r="K210" s="15" t="n">
        <v>49.713</v>
      </c>
      <c r="L210" s="16" t="n">
        <v>1082265.52</v>
      </c>
      <c r="M210" s="0" t="n">
        <v>21807</v>
      </c>
      <c r="N210" s="17" t="s">
        <v>220</v>
      </c>
      <c r="O210" s="14" t="s">
        <v>74</v>
      </c>
      <c r="P210" s="14" t="s">
        <v>74</v>
      </c>
    </row>
    <row r="211" customFormat="false" ht="15" hidden="false" customHeight="false" outlineLevel="0" collapsed="false">
      <c r="A211" s="0" t="n">
        <v>95955545</v>
      </c>
      <c r="B211" s="0" t="n">
        <v>1</v>
      </c>
      <c r="C211" s="13" t="n">
        <v>46029</v>
      </c>
      <c r="D211" s="0" t="n">
        <v>2026</v>
      </c>
      <c r="E211" s="14" t="s">
        <v>47</v>
      </c>
      <c r="F211" s="14" t="s">
        <v>71</v>
      </c>
      <c r="G211" s="14" t="s">
        <v>72</v>
      </c>
      <c r="H211" s="14" t="s">
        <v>36</v>
      </c>
      <c r="I211" s="14" t="s">
        <v>20</v>
      </c>
      <c r="J211" s="14" t="s">
        <v>27</v>
      </c>
      <c r="K211" s="15" t="n">
        <v>1265.436</v>
      </c>
      <c r="L211" s="16" t="n">
        <v>7131796.09</v>
      </c>
      <c r="M211" s="0" t="n">
        <v>20106</v>
      </c>
      <c r="N211" s="14" t="s">
        <v>221</v>
      </c>
      <c r="O211" s="14" t="s">
        <v>74</v>
      </c>
      <c r="P211" s="14" t="s">
        <v>74</v>
      </c>
    </row>
    <row r="212" customFormat="false" ht="15" hidden="false" customHeight="false" outlineLevel="0" collapsed="false">
      <c r="A212" s="0" t="n">
        <v>101593670</v>
      </c>
      <c r="B212" s="0" t="n">
        <v>1</v>
      </c>
      <c r="C212" s="13" t="n">
        <v>46070</v>
      </c>
      <c r="D212" s="0" t="n">
        <v>2026</v>
      </c>
      <c r="E212" s="14" t="s">
        <v>48</v>
      </c>
      <c r="F212" s="14" t="s">
        <v>106</v>
      </c>
      <c r="G212" s="14" t="s">
        <v>107</v>
      </c>
      <c r="H212" s="14" t="s">
        <v>30</v>
      </c>
      <c r="I212" s="14" t="s">
        <v>20</v>
      </c>
      <c r="J212" s="14" t="s">
        <v>27</v>
      </c>
      <c r="K212" s="15" t="n">
        <v>819.934</v>
      </c>
      <c r="L212" s="16" t="n">
        <v>704921.57</v>
      </c>
      <c r="M212" s="0" t="n">
        <v>150202</v>
      </c>
      <c r="N212" s="14" t="s">
        <v>222</v>
      </c>
      <c r="O212" s="14" t="s">
        <v>74</v>
      </c>
      <c r="P212" s="14" t="s">
        <v>74</v>
      </c>
    </row>
    <row r="213" customFormat="false" ht="15" hidden="false" customHeight="false" outlineLevel="0" collapsed="false">
      <c r="A213" s="0" t="n">
        <v>101978038</v>
      </c>
      <c r="B213" s="0" t="n">
        <v>1</v>
      </c>
      <c r="C213" s="13" t="n">
        <v>46072</v>
      </c>
      <c r="D213" s="0" t="n">
        <v>2026</v>
      </c>
      <c r="E213" s="14" t="s">
        <v>48</v>
      </c>
      <c r="F213" s="14" t="s">
        <v>71</v>
      </c>
      <c r="G213" s="14" t="s">
        <v>72</v>
      </c>
      <c r="H213" s="14" t="s">
        <v>30</v>
      </c>
      <c r="I213" s="14" t="s">
        <v>20</v>
      </c>
      <c r="J213" s="14" t="s">
        <v>27</v>
      </c>
      <c r="K213" s="15" t="n">
        <v>906.337</v>
      </c>
      <c r="L213" s="16" t="n">
        <v>781864.34</v>
      </c>
      <c r="M213" s="0" t="n">
        <v>150202</v>
      </c>
      <c r="N213" s="14" t="s">
        <v>223</v>
      </c>
      <c r="O213" s="14" t="s">
        <v>74</v>
      </c>
      <c r="P213" s="14" t="s">
        <v>74</v>
      </c>
    </row>
    <row r="214" customFormat="false" ht="15" hidden="false" customHeight="false" outlineLevel="0" collapsed="false">
      <c r="A214" s="0" t="n">
        <v>102261705</v>
      </c>
      <c r="B214" s="0" t="n">
        <v>1</v>
      </c>
      <c r="C214" s="13" t="n">
        <v>46073</v>
      </c>
      <c r="D214" s="0" t="n">
        <v>2026</v>
      </c>
      <c r="E214" s="14" t="s">
        <v>48</v>
      </c>
      <c r="F214" s="14" t="s">
        <v>71</v>
      </c>
      <c r="G214" s="14" t="s">
        <v>72</v>
      </c>
      <c r="H214" s="14" t="s">
        <v>15</v>
      </c>
      <c r="I214" s="14" t="s">
        <v>20</v>
      </c>
      <c r="J214" s="14" t="s">
        <v>17</v>
      </c>
      <c r="K214" s="15" t="n">
        <v>11682.61</v>
      </c>
      <c r="L214" s="16" t="n">
        <v>50183147.35</v>
      </c>
      <c r="M214" s="0" t="n">
        <v>190111</v>
      </c>
      <c r="N214" s="14" t="s">
        <v>224</v>
      </c>
      <c r="O214" s="14" t="s">
        <v>74</v>
      </c>
      <c r="P214" s="14" t="s">
        <v>74</v>
      </c>
    </row>
    <row r="215" customFormat="false" ht="15" hidden="false" customHeight="false" outlineLevel="0" collapsed="false">
      <c r="A215" s="0" t="n">
        <v>105903447</v>
      </c>
      <c r="B215" s="0" t="n">
        <v>1</v>
      </c>
      <c r="C215" s="13" t="n">
        <v>46102</v>
      </c>
      <c r="D215" s="0" t="n">
        <v>2026</v>
      </c>
      <c r="E215" s="14" t="s">
        <v>49</v>
      </c>
      <c r="F215" s="14" t="s">
        <v>71</v>
      </c>
      <c r="G215" s="14" t="s">
        <v>72</v>
      </c>
      <c r="H215" s="14" t="s">
        <v>30</v>
      </c>
      <c r="I215" s="14" t="s">
        <v>20</v>
      </c>
      <c r="J215" s="14" t="s">
        <v>27</v>
      </c>
      <c r="K215" s="15" t="n">
        <v>147.156</v>
      </c>
      <c r="L215" s="16" t="n">
        <v>357239.23</v>
      </c>
      <c r="M215" s="0" t="n">
        <v>150202</v>
      </c>
      <c r="N215" s="14" t="s">
        <v>225</v>
      </c>
      <c r="O215" s="14" t="s">
        <v>74</v>
      </c>
      <c r="P215" s="14" t="s">
        <v>74</v>
      </c>
    </row>
    <row r="216" customFormat="false" ht="15" hidden="false" customHeight="false" outlineLevel="0" collapsed="false">
      <c r="A216" s="0" t="n">
        <v>107441649</v>
      </c>
      <c r="B216" s="0" t="n">
        <v>1</v>
      </c>
      <c r="C216" s="13" t="n">
        <v>46114</v>
      </c>
      <c r="D216" s="0" t="n">
        <v>2026</v>
      </c>
      <c r="E216" s="14" t="s">
        <v>50</v>
      </c>
      <c r="F216" s="14" t="s">
        <v>71</v>
      </c>
      <c r="G216" s="14" t="s">
        <v>72</v>
      </c>
      <c r="H216" s="14" t="s">
        <v>19</v>
      </c>
      <c r="I216" s="14" t="s">
        <v>20</v>
      </c>
      <c r="J216" s="14" t="s">
        <v>17</v>
      </c>
      <c r="K216" s="15" t="n">
        <v>10948.854</v>
      </c>
      <c r="L216" s="16" t="n">
        <v>42759458.74</v>
      </c>
      <c r="M216" s="0" t="n">
        <v>120805</v>
      </c>
      <c r="N216" s="14" t="s">
        <v>79</v>
      </c>
      <c r="O216" s="14" t="s">
        <v>74</v>
      </c>
      <c r="P216" s="14" t="s">
        <v>74</v>
      </c>
    </row>
    <row r="217" customFormat="false" ht="15" hidden="false" customHeight="false" outlineLevel="0" collapsed="false">
      <c r="A217" s="0" t="n">
        <v>112129804</v>
      </c>
      <c r="B217" s="0" t="n">
        <v>1</v>
      </c>
      <c r="C217" s="13" t="n">
        <v>46150</v>
      </c>
      <c r="D217" s="0" t="n">
        <v>2026</v>
      </c>
      <c r="E217" s="14" t="s">
        <v>51</v>
      </c>
      <c r="F217" s="14" t="s">
        <v>71</v>
      </c>
      <c r="G217" s="14" t="s">
        <v>72</v>
      </c>
      <c r="H217" s="14" t="s">
        <v>15</v>
      </c>
      <c r="I217" s="14" t="s">
        <v>20</v>
      </c>
      <c r="J217" s="14" t="s">
        <v>21</v>
      </c>
      <c r="K217" s="15" t="n">
        <v>11492.58</v>
      </c>
      <c r="L217" s="16" t="n">
        <v>58307277.37</v>
      </c>
      <c r="M217" s="0" t="n">
        <v>190111</v>
      </c>
      <c r="N217" s="14" t="s">
        <v>226</v>
      </c>
      <c r="O217" s="14" t="s">
        <v>74</v>
      </c>
      <c r="P217" s="14" t="s">
        <v>74</v>
      </c>
    </row>
    <row r="218" customFormat="false" ht="15" hidden="false" customHeight="false" outlineLevel="0" collapsed="false">
      <c r="A218" s="0" t="n">
        <v>112463403</v>
      </c>
      <c r="B218" s="0" t="n">
        <v>1</v>
      </c>
      <c r="C218" s="13" t="n">
        <v>46153</v>
      </c>
      <c r="D218" s="0" t="n">
        <v>2026</v>
      </c>
      <c r="E218" s="14" t="s">
        <v>51</v>
      </c>
      <c r="F218" s="14" t="s">
        <v>71</v>
      </c>
      <c r="G218" s="14" t="s">
        <v>72</v>
      </c>
      <c r="H218" s="14" t="s">
        <v>15</v>
      </c>
      <c r="I218" s="14" t="s">
        <v>20</v>
      </c>
      <c r="J218" s="14" t="s">
        <v>17</v>
      </c>
      <c r="K218" s="15" t="n">
        <v>10998.534</v>
      </c>
      <c r="L218" s="16" t="n">
        <v>42581442.16</v>
      </c>
      <c r="M218" s="0" t="n">
        <v>190111</v>
      </c>
      <c r="N218" s="14" t="s">
        <v>79</v>
      </c>
      <c r="O218" s="14" t="s">
        <v>74</v>
      </c>
      <c r="P218" s="14" t="s">
        <v>74</v>
      </c>
    </row>
    <row r="219" customFormat="false" ht="15" hidden="false" customHeight="false" outlineLevel="0" collapsed="false">
      <c r="A219" s="0" t="n">
        <v>114326569</v>
      </c>
      <c r="B219" s="0" t="n">
        <v>1</v>
      </c>
      <c r="C219" s="13" t="n">
        <v>46166</v>
      </c>
      <c r="D219" s="0" t="n">
        <v>2026</v>
      </c>
      <c r="E219" s="14" t="s">
        <v>51</v>
      </c>
      <c r="F219" s="14" t="s">
        <v>71</v>
      </c>
      <c r="G219" s="14" t="s">
        <v>72</v>
      </c>
      <c r="H219" s="14" t="s">
        <v>30</v>
      </c>
      <c r="I219" s="14" t="s">
        <v>20</v>
      </c>
      <c r="J219" s="14" t="s">
        <v>27</v>
      </c>
      <c r="K219" s="15" t="n">
        <v>900.59</v>
      </c>
      <c r="L219" s="16" t="n">
        <v>674346</v>
      </c>
      <c r="M219" s="0" t="n">
        <v>150202</v>
      </c>
      <c r="N219" s="14" t="s">
        <v>227</v>
      </c>
      <c r="O219" s="14" t="s">
        <v>74</v>
      </c>
      <c r="P219" s="14" t="s">
        <v>74</v>
      </c>
    </row>
    <row r="220" customFormat="false" ht="15" hidden="false" customHeight="false" outlineLevel="0" collapsed="false">
      <c r="A220" s="0" t="n">
        <v>115005853</v>
      </c>
      <c r="B220" s="0" t="n">
        <v>1</v>
      </c>
      <c r="C220" s="13" t="n">
        <v>46171</v>
      </c>
      <c r="D220" s="0" t="n">
        <v>2026</v>
      </c>
      <c r="E220" s="14" t="s">
        <v>51</v>
      </c>
      <c r="F220" s="14" t="s">
        <v>71</v>
      </c>
      <c r="G220" s="14" t="s">
        <v>72</v>
      </c>
      <c r="H220" s="14" t="s">
        <v>30</v>
      </c>
      <c r="I220" s="14" t="s">
        <v>20</v>
      </c>
      <c r="J220" s="14" t="s">
        <v>27</v>
      </c>
      <c r="K220" s="15" t="n">
        <v>906.35</v>
      </c>
      <c r="L220" s="16" t="n">
        <v>672164</v>
      </c>
      <c r="M220" s="0" t="n">
        <v>150202</v>
      </c>
      <c r="N220" s="14" t="s">
        <v>228</v>
      </c>
      <c r="O220" s="14" t="s">
        <v>74</v>
      </c>
      <c r="P220" s="14" t="s">
        <v>74</v>
      </c>
    </row>
    <row r="221" customFormat="false" ht="15" hidden="false" customHeight="false" outlineLevel="0" collapsed="false">
      <c r="A221" s="0" t="n">
        <v>115132996</v>
      </c>
      <c r="B221" s="0" t="n">
        <v>1</v>
      </c>
      <c r="C221" s="13" t="n">
        <v>46171</v>
      </c>
      <c r="D221" s="0" t="n">
        <v>2026</v>
      </c>
      <c r="E221" s="14" t="s">
        <v>51</v>
      </c>
      <c r="F221" s="14" t="s">
        <v>71</v>
      </c>
      <c r="G221" s="14" t="s">
        <v>72</v>
      </c>
      <c r="H221" s="14" t="s">
        <v>39</v>
      </c>
      <c r="I221" s="14" t="s">
        <v>20</v>
      </c>
      <c r="J221" s="14" t="s">
        <v>27</v>
      </c>
      <c r="K221" s="15" t="n">
        <v>1546.31</v>
      </c>
      <c r="L221" s="16" t="n">
        <v>3764249.55</v>
      </c>
      <c r="M221" s="0" t="n">
        <v>130202</v>
      </c>
      <c r="N221" s="14" t="s">
        <v>229</v>
      </c>
      <c r="O221" s="14" t="s">
        <v>74</v>
      </c>
      <c r="P221" s="14" t="s">
        <v>74</v>
      </c>
    </row>
    <row r="222" customFormat="false" ht="15" hidden="false" customHeight="false" outlineLevel="0" collapsed="false">
      <c r="A222" s="0" t="n">
        <v>116101330</v>
      </c>
      <c r="B222" s="0" t="n">
        <v>1</v>
      </c>
      <c r="C222" s="13" t="n">
        <v>46178</v>
      </c>
      <c r="D222" s="0" t="n">
        <v>2026</v>
      </c>
      <c r="E222" s="14" t="s">
        <v>52</v>
      </c>
      <c r="F222" s="14" t="s">
        <v>71</v>
      </c>
      <c r="G222" s="14" t="s">
        <v>72</v>
      </c>
      <c r="H222" s="14" t="s">
        <v>15</v>
      </c>
      <c r="I222" s="14" t="s">
        <v>20</v>
      </c>
      <c r="J222" s="14" t="s">
        <v>17</v>
      </c>
      <c r="K222" s="15" t="n">
        <v>9090.749</v>
      </c>
      <c r="L222" s="16" t="n">
        <v>39356424.81</v>
      </c>
      <c r="M222" s="0" t="n">
        <v>190111</v>
      </c>
      <c r="N222" s="14" t="s">
        <v>79</v>
      </c>
      <c r="O222" s="14" t="s">
        <v>74</v>
      </c>
      <c r="P222" s="14" t="s">
        <v>74</v>
      </c>
    </row>
    <row r="223" customFormat="false" ht="15" hidden="false" customHeight="false" outlineLevel="0" collapsed="false">
      <c r="A223" s="0" t="n">
        <v>116514877</v>
      </c>
      <c r="B223" s="0" t="n">
        <v>1</v>
      </c>
      <c r="C223" s="13" t="n">
        <v>46182</v>
      </c>
      <c r="D223" s="0" t="n">
        <v>2026</v>
      </c>
      <c r="E223" s="14" t="s">
        <v>52</v>
      </c>
      <c r="F223" s="14" t="s">
        <v>71</v>
      </c>
      <c r="G223" s="14" t="s">
        <v>72</v>
      </c>
      <c r="H223" s="14" t="s">
        <v>15</v>
      </c>
      <c r="I223" s="14" t="s">
        <v>20</v>
      </c>
      <c r="J223" s="14" t="s">
        <v>17</v>
      </c>
      <c r="K223" s="15" t="n">
        <v>9108.005</v>
      </c>
      <c r="L223" s="16" t="n">
        <v>43825524.33</v>
      </c>
      <c r="M223" s="0" t="n">
        <v>190111</v>
      </c>
      <c r="N223" s="14" t="s">
        <v>79</v>
      </c>
      <c r="O223" s="14" t="s">
        <v>74</v>
      </c>
      <c r="P223" s="14" t="s">
        <v>74</v>
      </c>
    </row>
    <row r="224" customFormat="false" ht="15" hidden="false" customHeight="false" outlineLevel="0" collapsed="false">
      <c r="A224" s="0" t="n">
        <v>117839256</v>
      </c>
      <c r="B224" s="0" t="n">
        <v>1</v>
      </c>
      <c r="C224" s="13" t="n">
        <v>46192</v>
      </c>
      <c r="D224" s="0" t="n">
        <v>2026</v>
      </c>
      <c r="E224" s="14" t="s">
        <v>52</v>
      </c>
      <c r="F224" s="14" t="s">
        <v>71</v>
      </c>
      <c r="G224" s="14" t="s">
        <v>72</v>
      </c>
      <c r="H224" s="14" t="s">
        <v>15</v>
      </c>
      <c r="I224" s="14" t="s">
        <v>20</v>
      </c>
      <c r="J224" s="14" t="s">
        <v>21</v>
      </c>
      <c r="K224" s="15" t="n">
        <v>11340.34</v>
      </c>
      <c r="L224" s="16" t="n">
        <v>49105075.13</v>
      </c>
      <c r="M224" s="0" t="n">
        <v>190111</v>
      </c>
      <c r="N224" s="14" t="s">
        <v>230</v>
      </c>
      <c r="O224" s="14" t="s">
        <v>74</v>
      </c>
      <c r="P224" s="14" t="s">
        <v>74</v>
      </c>
    </row>
    <row r="225" customFormat="false" ht="15" hidden="false" customHeight="false" outlineLevel="0" collapsed="false">
      <c r="A225" s="0" t="n">
        <v>118511907</v>
      </c>
      <c r="B225" s="0" t="n">
        <v>1</v>
      </c>
      <c r="C225" s="13" t="n">
        <v>46197</v>
      </c>
      <c r="D225" s="0" t="n">
        <v>2026</v>
      </c>
      <c r="E225" s="14" t="s">
        <v>52</v>
      </c>
      <c r="F225" s="14" t="s">
        <v>71</v>
      </c>
      <c r="G225" s="14" t="s">
        <v>72</v>
      </c>
      <c r="H225" s="14" t="s">
        <v>39</v>
      </c>
      <c r="I225" s="14" t="s">
        <v>20</v>
      </c>
      <c r="J225" s="14" t="s">
        <v>31</v>
      </c>
      <c r="K225" s="15" t="n">
        <v>1479.325</v>
      </c>
      <c r="L225" s="16" t="n">
        <v>2360990.26</v>
      </c>
      <c r="M225" s="0" t="n">
        <v>130105</v>
      </c>
      <c r="N225" s="14" t="s">
        <v>231</v>
      </c>
      <c r="O225" s="14" t="s">
        <v>74</v>
      </c>
      <c r="P225" s="14" t="s">
        <v>74</v>
      </c>
    </row>
    <row r="226" customFormat="false" ht="15" hidden="false" customHeight="false" outlineLevel="0" collapsed="false">
      <c r="A226" s="0" t="n">
        <v>119219122</v>
      </c>
      <c r="B226" s="0" t="n">
        <v>1</v>
      </c>
      <c r="C226" s="13" t="n">
        <v>46203</v>
      </c>
      <c r="D226" s="0" t="n">
        <v>2026</v>
      </c>
      <c r="E226" s="14" t="s">
        <v>52</v>
      </c>
      <c r="F226" s="14" t="s">
        <v>71</v>
      </c>
      <c r="G226" s="14" t="s">
        <v>72</v>
      </c>
      <c r="H226" s="14" t="s">
        <v>30</v>
      </c>
      <c r="I226" s="14" t="s">
        <v>20</v>
      </c>
      <c r="J226" s="14" t="s">
        <v>27</v>
      </c>
      <c r="K226" s="15" t="n">
        <v>721.71</v>
      </c>
      <c r="L226" s="16" t="n">
        <v>507862</v>
      </c>
      <c r="M226" s="0" t="n">
        <v>150202</v>
      </c>
      <c r="N226" s="14" t="s">
        <v>232</v>
      </c>
      <c r="O226" s="14" t="s">
        <v>74</v>
      </c>
      <c r="P226" s="14" t="s">
        <v>74</v>
      </c>
    </row>
    <row r="227" customFormat="false" ht="15" hidden="false" customHeight="false" outlineLevel="0" collapsed="false">
      <c r="A227" s="0" t="n">
        <v>119215675</v>
      </c>
      <c r="B227" s="0" t="n">
        <v>1</v>
      </c>
      <c r="C227" s="13" t="n">
        <v>46203</v>
      </c>
      <c r="D227" s="0" t="n">
        <v>2026</v>
      </c>
      <c r="E227" s="14" t="s">
        <v>52</v>
      </c>
      <c r="F227" s="14" t="s">
        <v>71</v>
      </c>
      <c r="G227" s="14" t="s">
        <v>72</v>
      </c>
      <c r="H227" s="14" t="s">
        <v>30</v>
      </c>
      <c r="I227" s="14" t="s">
        <v>20</v>
      </c>
      <c r="J227" s="14" t="s">
        <v>27</v>
      </c>
      <c r="K227" s="15" t="n">
        <v>921.19</v>
      </c>
      <c r="L227" s="16" t="n">
        <v>550890</v>
      </c>
      <c r="M227" s="0" t="n">
        <v>150202</v>
      </c>
      <c r="N227" s="14" t="s">
        <v>233</v>
      </c>
      <c r="O227" s="14" t="s">
        <v>74</v>
      </c>
      <c r="P227" s="14" t="s">
        <v>74</v>
      </c>
    </row>
    <row r="228" customFormat="false" ht="15" hidden="false" customHeight="false" outlineLevel="0" collapsed="false">
      <c r="A228" s="0" t="n">
        <v>120771142</v>
      </c>
      <c r="B228" s="0" t="n">
        <v>1</v>
      </c>
      <c r="C228" s="13" t="n">
        <v>46215</v>
      </c>
      <c r="D228" s="0" t="n">
        <v>2026</v>
      </c>
      <c r="E228" s="14" t="s">
        <v>53</v>
      </c>
      <c r="F228" s="14" t="s">
        <v>71</v>
      </c>
      <c r="G228" s="14" t="s">
        <v>72</v>
      </c>
      <c r="H228" s="14" t="s">
        <v>23</v>
      </c>
      <c r="I228" s="14" t="s">
        <v>20</v>
      </c>
      <c r="J228" s="14" t="s">
        <v>27</v>
      </c>
      <c r="K228" s="15" t="n">
        <v>1003.812</v>
      </c>
      <c r="L228" s="16" t="n">
        <v>3210452.62</v>
      </c>
      <c r="M228" s="0" t="n">
        <v>110305</v>
      </c>
      <c r="N228" s="14" t="s">
        <v>234</v>
      </c>
      <c r="O228" s="14" t="s">
        <v>74</v>
      </c>
      <c r="P228" s="14" t="s">
        <v>74</v>
      </c>
    </row>
    <row r="229" customFormat="false" ht="15" hidden="false" customHeight="false" outlineLevel="0" collapsed="false">
      <c r="A229" s="0" t="n">
        <v>121428357</v>
      </c>
      <c r="B229" s="0" t="n">
        <v>1</v>
      </c>
      <c r="C229" s="13" t="n">
        <v>46220</v>
      </c>
      <c r="D229" s="0" t="n">
        <v>2026</v>
      </c>
      <c r="E229" s="14" t="s">
        <v>53</v>
      </c>
      <c r="F229" s="14" t="s">
        <v>71</v>
      </c>
      <c r="G229" s="14" t="s">
        <v>72</v>
      </c>
      <c r="H229" s="14" t="s">
        <v>30</v>
      </c>
      <c r="I229" s="14" t="s">
        <v>20</v>
      </c>
      <c r="J229" s="14" t="s">
        <v>27</v>
      </c>
      <c r="K229" s="15" t="n">
        <v>889.55</v>
      </c>
      <c r="L229" s="16" t="n">
        <v>510708</v>
      </c>
      <c r="M229" s="0" t="n">
        <v>150202</v>
      </c>
      <c r="N229" s="14" t="s">
        <v>235</v>
      </c>
      <c r="O229" s="14" t="s">
        <v>74</v>
      </c>
      <c r="P229" s="14" t="s">
        <v>74</v>
      </c>
    </row>
    <row r="230" customFormat="false" ht="28.35" hidden="false" customHeight="false" outlineLevel="0" collapsed="false">
      <c r="A230" s="0" t="n">
        <v>122545681</v>
      </c>
      <c r="B230" s="0" t="n">
        <v>1</v>
      </c>
      <c r="C230" s="13" t="n">
        <v>46228</v>
      </c>
      <c r="D230" s="0" t="n">
        <v>2026</v>
      </c>
      <c r="E230" s="14" t="s">
        <v>53</v>
      </c>
      <c r="F230" s="14" t="s">
        <v>71</v>
      </c>
      <c r="G230" s="14" t="s">
        <v>72</v>
      </c>
      <c r="H230" s="14" t="s">
        <v>23</v>
      </c>
      <c r="I230" s="14" t="s">
        <v>20</v>
      </c>
      <c r="J230" s="14" t="s">
        <v>27</v>
      </c>
      <c r="K230" s="15" t="n">
        <v>1074.972</v>
      </c>
      <c r="L230" s="16" t="n">
        <v>5133904.95</v>
      </c>
      <c r="M230" s="0" t="n">
        <v>110304</v>
      </c>
      <c r="N230" s="17" t="s">
        <v>236</v>
      </c>
      <c r="O230" s="14" t="s">
        <v>74</v>
      </c>
      <c r="P230" s="14" t="s">
        <v>74</v>
      </c>
    </row>
    <row r="231" customFormat="false" ht="15" hidden="false" customHeight="false" outlineLevel="0" collapsed="false">
      <c r="A231" s="0" t="n">
        <v>86835091</v>
      </c>
      <c r="B231" s="0" t="n">
        <v>1</v>
      </c>
      <c r="C231" s="13" t="n">
        <v>45959</v>
      </c>
      <c r="D231" s="0" t="n">
        <v>2025</v>
      </c>
      <c r="E231" s="14" t="s">
        <v>43</v>
      </c>
      <c r="F231" s="14" t="s">
        <v>71</v>
      </c>
      <c r="G231" s="14" t="s">
        <v>72</v>
      </c>
      <c r="H231" s="14" t="s">
        <v>36</v>
      </c>
      <c r="I231" s="14" t="s">
        <v>20</v>
      </c>
      <c r="J231" s="14" t="s">
        <v>27</v>
      </c>
      <c r="K231" s="15" t="n">
        <v>904.7</v>
      </c>
      <c r="L231" s="16" t="n">
        <v>5208530.47</v>
      </c>
      <c r="M231" s="0" t="n">
        <v>20103</v>
      </c>
      <c r="N231" s="14" t="s">
        <v>237</v>
      </c>
      <c r="O231" s="14" t="s">
        <v>74</v>
      </c>
      <c r="P231" s="14" t="s">
        <v>74</v>
      </c>
    </row>
    <row r="232" customFormat="false" ht="15" hidden="false" customHeight="false" outlineLevel="0" collapsed="false">
      <c r="A232" s="0" t="n">
        <v>87675161</v>
      </c>
      <c r="B232" s="0" t="n">
        <v>1</v>
      </c>
      <c r="C232" s="13" t="n">
        <v>45966</v>
      </c>
      <c r="D232" s="0" t="n">
        <v>2025</v>
      </c>
      <c r="E232" s="14" t="s">
        <v>45</v>
      </c>
      <c r="F232" s="14" t="s">
        <v>71</v>
      </c>
      <c r="G232" s="14" t="s">
        <v>72</v>
      </c>
      <c r="H232" s="14" t="s">
        <v>42</v>
      </c>
      <c r="I232" s="14" t="s">
        <v>20</v>
      </c>
      <c r="J232" s="14" t="s">
        <v>27</v>
      </c>
      <c r="K232" s="15" t="n">
        <v>312.314</v>
      </c>
      <c r="L232" s="16" t="n">
        <v>3403224.76</v>
      </c>
      <c r="M232" s="0" t="n">
        <v>60202</v>
      </c>
      <c r="N232" s="14" t="s">
        <v>238</v>
      </c>
      <c r="O232" s="14" t="s">
        <v>74</v>
      </c>
      <c r="P232" s="14" t="s">
        <v>74</v>
      </c>
    </row>
    <row r="233" customFormat="false" ht="15" hidden="false" customHeight="false" outlineLevel="0" collapsed="false">
      <c r="A233" s="0" t="n">
        <v>87784356</v>
      </c>
      <c r="B233" s="0" t="n">
        <v>1</v>
      </c>
      <c r="C233" s="13" t="n">
        <v>45967</v>
      </c>
      <c r="D233" s="0" t="n">
        <v>2025</v>
      </c>
      <c r="E233" s="14" t="s">
        <v>45</v>
      </c>
      <c r="F233" s="14" t="s">
        <v>71</v>
      </c>
      <c r="G233" s="14" t="s">
        <v>72</v>
      </c>
      <c r="H233" s="14" t="s">
        <v>42</v>
      </c>
      <c r="I233" s="14" t="s">
        <v>20</v>
      </c>
      <c r="J233" s="14" t="s">
        <v>27</v>
      </c>
      <c r="K233" s="15" t="n">
        <v>64.638</v>
      </c>
      <c r="L233" s="16" t="n">
        <v>478825.41</v>
      </c>
      <c r="M233" s="0" t="n">
        <v>60703</v>
      </c>
      <c r="N233" s="14" t="s">
        <v>239</v>
      </c>
      <c r="O233" s="14" t="s">
        <v>74</v>
      </c>
      <c r="P233" s="14" t="s">
        <v>74</v>
      </c>
    </row>
    <row r="234" customFormat="false" ht="15" hidden="false" customHeight="false" outlineLevel="0" collapsed="false">
      <c r="A234" s="0" t="n">
        <v>87772458</v>
      </c>
      <c r="B234" s="0" t="n">
        <v>1</v>
      </c>
      <c r="C234" s="13" t="n">
        <v>45967</v>
      </c>
      <c r="D234" s="0" t="n">
        <v>2025</v>
      </c>
      <c r="E234" s="14" t="s">
        <v>45</v>
      </c>
      <c r="F234" s="14" t="s">
        <v>194</v>
      </c>
      <c r="G234" s="14" t="s">
        <v>195</v>
      </c>
      <c r="H234" s="14" t="s">
        <v>240</v>
      </c>
      <c r="I234" s="14" t="s">
        <v>16</v>
      </c>
      <c r="J234" s="14" t="s">
        <v>40</v>
      </c>
      <c r="K234" s="15" t="n">
        <v>1.2673</v>
      </c>
      <c r="L234" s="16" t="n">
        <v>0.001</v>
      </c>
      <c r="M234" s="0" t="n">
        <v>70101</v>
      </c>
      <c r="N234" s="14" t="s">
        <v>241</v>
      </c>
      <c r="O234" s="14" t="s">
        <v>74</v>
      </c>
      <c r="P234" s="14" t="s">
        <v>161</v>
      </c>
    </row>
    <row r="235" customFormat="false" ht="15" hidden="false" customHeight="false" outlineLevel="0" collapsed="false">
      <c r="A235" s="0" t="n">
        <v>88780030</v>
      </c>
      <c r="B235" s="0" t="n">
        <v>1</v>
      </c>
      <c r="C235" s="13" t="n">
        <v>45975</v>
      </c>
      <c r="D235" s="0" t="n">
        <v>2025</v>
      </c>
      <c r="E235" s="14" t="s">
        <v>45</v>
      </c>
      <c r="F235" s="14" t="s">
        <v>71</v>
      </c>
      <c r="G235" s="14" t="s">
        <v>72</v>
      </c>
      <c r="H235" s="14" t="s">
        <v>26</v>
      </c>
      <c r="I235" s="14" t="s">
        <v>16</v>
      </c>
      <c r="J235" s="14" t="s">
        <v>27</v>
      </c>
      <c r="K235" s="15" t="n">
        <v>495.804</v>
      </c>
      <c r="L235" s="16" t="n">
        <v>1072335.85</v>
      </c>
      <c r="M235" s="0" t="n">
        <v>50612</v>
      </c>
      <c r="N235" s="14" t="s">
        <v>145</v>
      </c>
      <c r="O235" s="14" t="s">
        <v>74</v>
      </c>
      <c r="P235" s="14" t="s">
        <v>74</v>
      </c>
    </row>
    <row r="236" customFormat="false" ht="15" hidden="false" customHeight="false" outlineLevel="0" collapsed="false">
      <c r="A236" s="0" t="n">
        <v>89075137</v>
      </c>
      <c r="B236" s="0" t="n">
        <v>1</v>
      </c>
      <c r="C236" s="13" t="n">
        <v>45978</v>
      </c>
      <c r="D236" s="0" t="n">
        <v>2025</v>
      </c>
      <c r="E236" s="14" t="s">
        <v>45</v>
      </c>
      <c r="F236" s="14" t="s">
        <v>71</v>
      </c>
      <c r="G236" s="14" t="s">
        <v>72</v>
      </c>
      <c r="H236" s="14" t="s">
        <v>44</v>
      </c>
      <c r="I236" s="14" t="s">
        <v>20</v>
      </c>
      <c r="J236" s="14" t="s">
        <v>27</v>
      </c>
      <c r="K236" s="15" t="n">
        <v>905.331</v>
      </c>
      <c r="L236" s="16" t="n">
        <v>1238585.26</v>
      </c>
      <c r="M236" s="0" t="n">
        <v>200111</v>
      </c>
      <c r="N236" s="14" t="s">
        <v>242</v>
      </c>
      <c r="O236" s="14" t="s">
        <v>74</v>
      </c>
      <c r="P236" s="14" t="s">
        <v>74</v>
      </c>
    </row>
    <row r="237" customFormat="false" ht="15" hidden="false" customHeight="false" outlineLevel="0" collapsed="false">
      <c r="A237" s="0" t="n">
        <v>89343901</v>
      </c>
      <c r="B237" s="0" t="n">
        <v>1</v>
      </c>
      <c r="C237" s="13" t="n">
        <v>45979</v>
      </c>
      <c r="D237" s="0" t="n">
        <v>2025</v>
      </c>
      <c r="E237" s="14" t="s">
        <v>45</v>
      </c>
      <c r="F237" s="14" t="s">
        <v>71</v>
      </c>
      <c r="G237" s="14" t="s">
        <v>72</v>
      </c>
      <c r="H237" s="14" t="s">
        <v>15</v>
      </c>
      <c r="I237" s="14" t="s">
        <v>20</v>
      </c>
      <c r="J237" s="14" t="s">
        <v>17</v>
      </c>
      <c r="K237" s="15" t="n">
        <v>11643.66</v>
      </c>
      <c r="L237" s="16" t="n">
        <v>46372269.32</v>
      </c>
      <c r="M237" s="0" t="n">
        <v>190101</v>
      </c>
      <c r="N237" s="14" t="s">
        <v>79</v>
      </c>
      <c r="O237" s="14" t="s">
        <v>74</v>
      </c>
      <c r="P237" s="14" t="s">
        <v>74</v>
      </c>
    </row>
    <row r="238" customFormat="false" ht="28.35" hidden="false" customHeight="false" outlineLevel="0" collapsed="false">
      <c r="A238" s="0" t="n">
        <v>90013520</v>
      </c>
      <c r="B238" s="0" t="n">
        <v>1</v>
      </c>
      <c r="C238" s="13" t="n">
        <v>45984</v>
      </c>
      <c r="D238" s="0" t="n">
        <v>2025</v>
      </c>
      <c r="E238" s="14" t="s">
        <v>45</v>
      </c>
      <c r="F238" s="14" t="s">
        <v>71</v>
      </c>
      <c r="G238" s="14" t="s">
        <v>72</v>
      </c>
      <c r="H238" s="14" t="s">
        <v>15</v>
      </c>
      <c r="I238" s="14" t="s">
        <v>20</v>
      </c>
      <c r="J238" s="14" t="s">
        <v>27</v>
      </c>
      <c r="K238" s="15" t="n">
        <v>1851.084</v>
      </c>
      <c r="L238" s="16" t="n">
        <v>9192982.74</v>
      </c>
      <c r="M238" s="0" t="n">
        <v>190108</v>
      </c>
      <c r="N238" s="17" t="s">
        <v>243</v>
      </c>
      <c r="O238" s="14" t="s">
        <v>74</v>
      </c>
      <c r="P238" s="14" t="s">
        <v>74</v>
      </c>
    </row>
    <row r="239" customFormat="false" ht="15" hidden="false" customHeight="false" outlineLevel="0" collapsed="false">
      <c r="A239" s="0" t="n">
        <v>90816968</v>
      </c>
      <c r="B239" s="0" t="n">
        <v>1</v>
      </c>
      <c r="C239" s="13" t="n">
        <v>45990</v>
      </c>
      <c r="D239" s="0" t="n">
        <v>2025</v>
      </c>
      <c r="E239" s="14" t="s">
        <v>45</v>
      </c>
      <c r="F239" s="14" t="s">
        <v>71</v>
      </c>
      <c r="G239" s="14" t="s">
        <v>72</v>
      </c>
      <c r="H239" s="14" t="s">
        <v>36</v>
      </c>
      <c r="I239" s="14" t="s">
        <v>20</v>
      </c>
      <c r="J239" s="14" t="s">
        <v>27</v>
      </c>
      <c r="K239" s="15" t="n">
        <v>556.488</v>
      </c>
      <c r="L239" s="16" t="n">
        <v>1727852.86</v>
      </c>
      <c r="M239" s="0" t="n">
        <v>20106</v>
      </c>
      <c r="N239" s="14" t="s">
        <v>244</v>
      </c>
      <c r="O239" s="14" t="s">
        <v>74</v>
      </c>
      <c r="P239" s="14" t="s">
        <v>74</v>
      </c>
    </row>
    <row r="240" customFormat="false" ht="15" hidden="false" customHeight="false" outlineLevel="0" collapsed="false">
      <c r="A240" s="0" t="n">
        <v>91238836</v>
      </c>
      <c r="B240" s="0" t="n">
        <v>1</v>
      </c>
      <c r="C240" s="13" t="n">
        <v>45993</v>
      </c>
      <c r="D240" s="0" t="n">
        <v>2025</v>
      </c>
      <c r="E240" s="14" t="s">
        <v>46</v>
      </c>
      <c r="F240" s="14" t="s">
        <v>71</v>
      </c>
      <c r="G240" s="14" t="s">
        <v>72</v>
      </c>
      <c r="H240" s="14" t="s">
        <v>19</v>
      </c>
      <c r="I240" s="14" t="s">
        <v>20</v>
      </c>
      <c r="J240" s="14" t="s">
        <v>17</v>
      </c>
      <c r="K240" s="15" t="n">
        <v>11729.13</v>
      </c>
      <c r="L240" s="16" t="n">
        <v>38505195.8</v>
      </c>
      <c r="M240" s="0" t="n">
        <v>120805</v>
      </c>
      <c r="N240" s="14" t="s">
        <v>245</v>
      </c>
      <c r="O240" s="14" t="s">
        <v>74</v>
      </c>
      <c r="P240" s="14" t="s">
        <v>74</v>
      </c>
    </row>
    <row r="241" customFormat="false" ht="28.35" hidden="false" customHeight="false" outlineLevel="0" collapsed="false">
      <c r="A241" s="0" t="n">
        <v>91917530</v>
      </c>
      <c r="B241" s="0" t="n">
        <v>1</v>
      </c>
      <c r="C241" s="13" t="n">
        <v>45998</v>
      </c>
      <c r="D241" s="0" t="n">
        <v>2025</v>
      </c>
      <c r="E241" s="14" t="s">
        <v>46</v>
      </c>
      <c r="F241" s="14" t="s">
        <v>71</v>
      </c>
      <c r="G241" s="14" t="s">
        <v>72</v>
      </c>
      <c r="H241" s="14" t="s">
        <v>30</v>
      </c>
      <c r="I241" s="14" t="s">
        <v>20</v>
      </c>
      <c r="J241" s="14" t="s">
        <v>27</v>
      </c>
      <c r="K241" s="15" t="n">
        <v>1466.785</v>
      </c>
      <c r="L241" s="16" t="n">
        <v>7796193.79</v>
      </c>
      <c r="M241" s="0" t="n">
        <v>151001</v>
      </c>
      <c r="N241" s="17" t="s">
        <v>246</v>
      </c>
      <c r="O241" s="14" t="s">
        <v>74</v>
      </c>
      <c r="P241" s="14" t="s">
        <v>74</v>
      </c>
    </row>
    <row r="242" customFormat="false" ht="15" hidden="false" customHeight="false" outlineLevel="0" collapsed="false">
      <c r="A242" s="0" t="n">
        <v>92231446</v>
      </c>
      <c r="B242" s="0" t="n">
        <v>1</v>
      </c>
      <c r="C242" s="13" t="n">
        <v>46001</v>
      </c>
      <c r="D242" s="0" t="n">
        <v>2025</v>
      </c>
      <c r="E242" s="14" t="s">
        <v>46</v>
      </c>
      <c r="F242" s="14" t="s">
        <v>71</v>
      </c>
      <c r="G242" s="14" t="s">
        <v>72</v>
      </c>
      <c r="H242" s="14" t="s">
        <v>19</v>
      </c>
      <c r="I242" s="14" t="s">
        <v>20</v>
      </c>
      <c r="J242" s="14" t="s">
        <v>17</v>
      </c>
      <c r="K242" s="15" t="n">
        <v>11689.42</v>
      </c>
      <c r="L242" s="16" t="n">
        <v>51866755.44</v>
      </c>
      <c r="M242" s="0" t="n">
        <v>120805</v>
      </c>
      <c r="N242" s="14" t="s">
        <v>79</v>
      </c>
      <c r="O242" s="14" t="s">
        <v>74</v>
      </c>
      <c r="P242" s="14" t="s">
        <v>74</v>
      </c>
    </row>
    <row r="243" customFormat="false" ht="15" hidden="false" customHeight="false" outlineLevel="0" collapsed="false">
      <c r="A243" s="0" t="n">
        <v>92879154</v>
      </c>
      <c r="B243" s="0" t="n">
        <v>1</v>
      </c>
      <c r="C243" s="13" t="n">
        <v>46005</v>
      </c>
      <c r="D243" s="0" t="n">
        <v>2025</v>
      </c>
      <c r="E243" s="14" t="s">
        <v>46</v>
      </c>
      <c r="F243" s="14" t="s">
        <v>71</v>
      </c>
      <c r="G243" s="14" t="s">
        <v>72</v>
      </c>
      <c r="H243" s="14" t="s">
        <v>30</v>
      </c>
      <c r="I243" s="14" t="s">
        <v>20</v>
      </c>
      <c r="J243" s="14" t="s">
        <v>27</v>
      </c>
      <c r="K243" s="15" t="n">
        <v>1015.544</v>
      </c>
      <c r="L243" s="16" t="n">
        <v>646741.02</v>
      </c>
      <c r="M243" s="0" t="n">
        <v>150202</v>
      </c>
      <c r="N243" s="14" t="s">
        <v>247</v>
      </c>
      <c r="O243" s="14" t="s">
        <v>74</v>
      </c>
      <c r="P243" s="14" t="s">
        <v>74</v>
      </c>
    </row>
    <row r="244" customFormat="false" ht="15" hidden="false" customHeight="false" outlineLevel="0" collapsed="false">
      <c r="A244" s="0" t="n">
        <v>93093585</v>
      </c>
      <c r="B244" s="0" t="n">
        <v>1</v>
      </c>
      <c r="C244" s="13" t="n">
        <v>46006</v>
      </c>
      <c r="D244" s="0" t="n">
        <v>2025</v>
      </c>
      <c r="E244" s="14" t="s">
        <v>46</v>
      </c>
      <c r="F244" s="14" t="s">
        <v>106</v>
      </c>
      <c r="G244" s="14" t="s">
        <v>107</v>
      </c>
      <c r="H244" s="14" t="s">
        <v>30</v>
      </c>
      <c r="I244" s="14" t="s">
        <v>20</v>
      </c>
      <c r="J244" s="14" t="s">
        <v>27</v>
      </c>
      <c r="K244" s="15" t="n">
        <v>876.876</v>
      </c>
      <c r="L244" s="16" t="n">
        <v>603685.52</v>
      </c>
      <c r="M244" s="0" t="n">
        <v>150202</v>
      </c>
      <c r="N244" s="14" t="s">
        <v>179</v>
      </c>
      <c r="O244" s="14" t="s">
        <v>74</v>
      </c>
      <c r="P244" s="14" t="s">
        <v>74</v>
      </c>
    </row>
    <row r="245" customFormat="false" ht="15" hidden="false" customHeight="false" outlineLevel="0" collapsed="false">
      <c r="A245" s="0" t="n">
        <v>94446744</v>
      </c>
      <c r="B245" s="0" t="n">
        <v>1</v>
      </c>
      <c r="C245" s="13" t="n">
        <v>46016</v>
      </c>
      <c r="D245" s="0" t="n">
        <v>2025</v>
      </c>
      <c r="E245" s="14" t="s">
        <v>46</v>
      </c>
      <c r="F245" s="14" t="s">
        <v>71</v>
      </c>
      <c r="G245" s="14" t="s">
        <v>72</v>
      </c>
      <c r="H245" s="14" t="s">
        <v>30</v>
      </c>
      <c r="I245" s="14" t="s">
        <v>20</v>
      </c>
      <c r="J245" s="14" t="s">
        <v>27</v>
      </c>
      <c r="K245" s="15" t="n">
        <v>842.553</v>
      </c>
      <c r="L245" s="16" t="n">
        <v>617404.65</v>
      </c>
      <c r="M245" s="0" t="n">
        <v>150202</v>
      </c>
      <c r="N245" s="14" t="s">
        <v>248</v>
      </c>
      <c r="O245" s="14" t="s">
        <v>74</v>
      </c>
      <c r="P245" s="14" t="s">
        <v>74</v>
      </c>
    </row>
    <row r="246" customFormat="false" ht="15" hidden="false" customHeight="false" outlineLevel="0" collapsed="false">
      <c r="A246" s="0" t="n">
        <v>94520258</v>
      </c>
      <c r="B246" s="0" t="n">
        <v>1</v>
      </c>
      <c r="C246" s="13" t="n">
        <v>46017</v>
      </c>
      <c r="D246" s="0" t="n">
        <v>2025</v>
      </c>
      <c r="E246" s="14" t="s">
        <v>46</v>
      </c>
      <c r="F246" s="14" t="s">
        <v>71</v>
      </c>
      <c r="G246" s="14" t="s">
        <v>72</v>
      </c>
      <c r="H246" s="14" t="s">
        <v>19</v>
      </c>
      <c r="I246" s="14" t="s">
        <v>20</v>
      </c>
      <c r="J246" s="14" t="s">
        <v>17</v>
      </c>
      <c r="K246" s="15" t="n">
        <v>10627.54</v>
      </c>
      <c r="L246" s="16" t="n">
        <v>42035709.32</v>
      </c>
      <c r="M246" s="0" t="n">
        <v>120805</v>
      </c>
      <c r="N246" s="14" t="s">
        <v>249</v>
      </c>
      <c r="O246" s="14" t="s">
        <v>74</v>
      </c>
      <c r="P246" s="14" t="s">
        <v>74</v>
      </c>
    </row>
    <row r="247" customFormat="false" ht="15" hidden="false" customHeight="false" outlineLevel="0" collapsed="false">
      <c r="A247" s="0" t="n">
        <v>95206155</v>
      </c>
      <c r="B247" s="0" t="n">
        <v>1</v>
      </c>
      <c r="C247" s="13" t="n">
        <v>46022</v>
      </c>
      <c r="D247" s="0" t="n">
        <v>2025</v>
      </c>
      <c r="E247" s="14" t="s">
        <v>46</v>
      </c>
      <c r="F247" s="14" t="s">
        <v>71</v>
      </c>
      <c r="G247" s="14" t="s">
        <v>72</v>
      </c>
      <c r="H247" s="14" t="s">
        <v>19</v>
      </c>
      <c r="I247" s="14" t="s">
        <v>20</v>
      </c>
      <c r="J247" s="14" t="s">
        <v>17</v>
      </c>
      <c r="K247" s="15" t="n">
        <v>10929.235</v>
      </c>
      <c r="L247" s="16" t="n">
        <v>45139052.17</v>
      </c>
      <c r="M247" s="0" t="n">
        <v>120805</v>
      </c>
      <c r="N247" s="14" t="s">
        <v>79</v>
      </c>
      <c r="O247" s="14" t="s">
        <v>74</v>
      </c>
      <c r="P247" s="14" t="s">
        <v>74</v>
      </c>
    </row>
    <row r="248" customFormat="false" ht="15" hidden="false" customHeight="false" outlineLevel="0" collapsed="false">
      <c r="A248" s="0" t="n">
        <v>95189739</v>
      </c>
      <c r="B248" s="0" t="n">
        <v>1</v>
      </c>
      <c r="C248" s="13" t="n">
        <v>46022</v>
      </c>
      <c r="D248" s="0" t="n">
        <v>2025</v>
      </c>
      <c r="E248" s="14" t="s">
        <v>46</v>
      </c>
      <c r="F248" s="14" t="s">
        <v>71</v>
      </c>
      <c r="G248" s="14" t="s">
        <v>72</v>
      </c>
      <c r="H248" s="14" t="s">
        <v>19</v>
      </c>
      <c r="I248" s="14" t="s">
        <v>20</v>
      </c>
      <c r="J248" s="14" t="s">
        <v>17</v>
      </c>
      <c r="K248" s="15" t="n">
        <v>10945.599</v>
      </c>
      <c r="L248" s="16" t="n">
        <v>50191355.14</v>
      </c>
      <c r="M248" s="0" t="n">
        <v>120805</v>
      </c>
      <c r="N248" s="14" t="s">
        <v>79</v>
      </c>
      <c r="O248" s="14" t="s">
        <v>74</v>
      </c>
      <c r="P248" s="14" t="s">
        <v>74</v>
      </c>
    </row>
    <row r="249" customFormat="false" ht="15" hidden="false" customHeight="false" outlineLevel="0" collapsed="false">
      <c r="A249" s="0" t="n">
        <v>96880833</v>
      </c>
      <c r="B249" s="0" t="n">
        <v>1</v>
      </c>
      <c r="C249" s="13" t="n">
        <v>46036</v>
      </c>
      <c r="D249" s="0" t="n">
        <v>2026</v>
      </c>
      <c r="E249" s="14" t="s">
        <v>47</v>
      </c>
      <c r="F249" s="14" t="s">
        <v>71</v>
      </c>
      <c r="G249" s="14" t="s">
        <v>72</v>
      </c>
      <c r="H249" s="14" t="s">
        <v>19</v>
      </c>
      <c r="I249" s="14" t="s">
        <v>20</v>
      </c>
      <c r="J249" s="14" t="s">
        <v>17</v>
      </c>
      <c r="K249" s="15" t="n">
        <v>1174.266</v>
      </c>
      <c r="L249" s="16" t="n">
        <v>45746574.21</v>
      </c>
      <c r="M249" s="0" t="n">
        <v>120805</v>
      </c>
      <c r="N249" s="14" t="s">
        <v>79</v>
      </c>
      <c r="O249" s="14" t="s">
        <v>74</v>
      </c>
      <c r="P249" s="14" t="s">
        <v>74</v>
      </c>
    </row>
    <row r="250" customFormat="false" ht="15" hidden="false" customHeight="false" outlineLevel="0" collapsed="false">
      <c r="A250" s="0" t="n">
        <v>97294549</v>
      </c>
      <c r="B250" s="0" t="n">
        <v>1</v>
      </c>
      <c r="C250" s="13" t="n">
        <v>46041</v>
      </c>
      <c r="D250" s="0" t="n">
        <v>2026</v>
      </c>
      <c r="E250" s="14" t="s">
        <v>47</v>
      </c>
      <c r="F250" s="14" t="s">
        <v>71</v>
      </c>
      <c r="G250" s="14" t="s">
        <v>72</v>
      </c>
      <c r="H250" s="14" t="s">
        <v>30</v>
      </c>
      <c r="I250" s="14" t="s">
        <v>20</v>
      </c>
      <c r="J250" s="14" t="s">
        <v>27</v>
      </c>
      <c r="K250" s="15" t="n">
        <v>908.347</v>
      </c>
      <c r="L250" s="16" t="n">
        <v>777880.15</v>
      </c>
      <c r="M250" s="0" t="n">
        <v>150202</v>
      </c>
      <c r="N250" s="14" t="s">
        <v>250</v>
      </c>
      <c r="O250" s="14" t="s">
        <v>74</v>
      </c>
      <c r="P250" s="14" t="s">
        <v>74</v>
      </c>
    </row>
    <row r="251" customFormat="false" ht="15" hidden="false" customHeight="false" outlineLevel="0" collapsed="false">
      <c r="A251" s="0" t="n">
        <v>97554389</v>
      </c>
      <c r="B251" s="0" t="n">
        <v>1</v>
      </c>
      <c r="C251" s="13" t="n">
        <v>46043</v>
      </c>
      <c r="D251" s="0" t="n">
        <v>2026</v>
      </c>
      <c r="E251" s="14" t="s">
        <v>47</v>
      </c>
      <c r="F251" s="14" t="s">
        <v>71</v>
      </c>
      <c r="G251" s="14" t="s">
        <v>72</v>
      </c>
      <c r="H251" s="14" t="s">
        <v>39</v>
      </c>
      <c r="I251" s="14" t="s">
        <v>20</v>
      </c>
      <c r="J251" s="14" t="s">
        <v>27</v>
      </c>
      <c r="K251" s="15" t="n">
        <v>902.462</v>
      </c>
      <c r="L251" s="16" t="n">
        <v>1568750.08</v>
      </c>
      <c r="M251" s="0" t="n">
        <v>130203</v>
      </c>
      <c r="N251" s="14" t="s">
        <v>251</v>
      </c>
      <c r="O251" s="14" t="s">
        <v>74</v>
      </c>
      <c r="P251" s="14" t="s">
        <v>74</v>
      </c>
    </row>
    <row r="252" customFormat="false" ht="15" hidden="false" customHeight="false" outlineLevel="0" collapsed="false">
      <c r="A252" s="0" t="n">
        <v>97667125</v>
      </c>
      <c r="B252" s="0" t="n">
        <v>1</v>
      </c>
      <c r="C252" s="13" t="n">
        <v>46044</v>
      </c>
      <c r="D252" s="0" t="n">
        <v>2026</v>
      </c>
      <c r="E252" s="14" t="s">
        <v>47</v>
      </c>
      <c r="F252" s="14" t="s">
        <v>71</v>
      </c>
      <c r="G252" s="14" t="s">
        <v>72</v>
      </c>
      <c r="H252" s="14" t="s">
        <v>30</v>
      </c>
      <c r="I252" s="14" t="s">
        <v>20</v>
      </c>
      <c r="J252" s="14" t="s">
        <v>27</v>
      </c>
      <c r="K252" s="15" t="n">
        <v>847.552</v>
      </c>
      <c r="L252" s="16" t="n">
        <v>683135.77</v>
      </c>
      <c r="M252" s="0" t="n">
        <v>150202</v>
      </c>
      <c r="N252" s="14" t="s">
        <v>252</v>
      </c>
      <c r="O252" s="14" t="s">
        <v>74</v>
      </c>
      <c r="P252" s="14" t="s">
        <v>74</v>
      </c>
    </row>
    <row r="253" customFormat="false" ht="15" hidden="false" customHeight="false" outlineLevel="0" collapsed="false">
      <c r="A253" s="0" t="n">
        <v>97713468</v>
      </c>
      <c r="B253" s="0" t="n">
        <v>1</v>
      </c>
      <c r="C253" s="13" t="n">
        <v>46045</v>
      </c>
      <c r="D253" s="0" t="n">
        <v>2026</v>
      </c>
      <c r="E253" s="14" t="s">
        <v>47</v>
      </c>
      <c r="F253" s="14" t="s">
        <v>71</v>
      </c>
      <c r="G253" s="14" t="s">
        <v>72</v>
      </c>
      <c r="H253" s="14" t="s">
        <v>33</v>
      </c>
      <c r="I253" s="14" t="s">
        <v>20</v>
      </c>
      <c r="J253" s="14" t="s">
        <v>17</v>
      </c>
      <c r="K253" s="15" t="n">
        <v>1186.353</v>
      </c>
      <c r="L253" s="16" t="n">
        <v>863134.82</v>
      </c>
      <c r="M253" s="0" t="n">
        <v>40505</v>
      </c>
      <c r="N253" s="14" t="s">
        <v>253</v>
      </c>
      <c r="O253" s="14" t="s">
        <v>74</v>
      </c>
      <c r="P253" s="14" t="s">
        <v>74</v>
      </c>
    </row>
    <row r="254" customFormat="false" ht="15" hidden="false" customHeight="false" outlineLevel="0" collapsed="false">
      <c r="A254" s="0" t="n">
        <v>100294253</v>
      </c>
      <c r="B254" s="0" t="n">
        <v>1</v>
      </c>
      <c r="C254" s="13" t="n">
        <v>46058</v>
      </c>
      <c r="D254" s="0" t="n">
        <v>2026</v>
      </c>
      <c r="E254" s="14" t="s">
        <v>48</v>
      </c>
      <c r="F254" s="14" t="s">
        <v>71</v>
      </c>
      <c r="G254" s="14" t="s">
        <v>72</v>
      </c>
      <c r="H254" s="14" t="s">
        <v>19</v>
      </c>
      <c r="I254" s="14" t="s">
        <v>20</v>
      </c>
      <c r="J254" s="14" t="s">
        <v>17</v>
      </c>
      <c r="K254" s="15" t="n">
        <v>11633.01</v>
      </c>
      <c r="L254" s="16" t="n">
        <v>39923692.9</v>
      </c>
      <c r="M254" s="0" t="n">
        <v>120805</v>
      </c>
      <c r="N254" s="14" t="s">
        <v>79</v>
      </c>
      <c r="O254" s="14" t="s">
        <v>74</v>
      </c>
      <c r="P254" s="14" t="s">
        <v>74</v>
      </c>
    </row>
    <row r="255" customFormat="false" ht="15" hidden="false" customHeight="false" outlineLevel="0" collapsed="false">
      <c r="A255" s="0" t="n">
        <v>101577908</v>
      </c>
      <c r="B255" s="0" t="n">
        <v>1</v>
      </c>
      <c r="C255" s="13" t="n">
        <v>46070</v>
      </c>
      <c r="D255" s="0" t="n">
        <v>2026</v>
      </c>
      <c r="E255" s="14" t="s">
        <v>48</v>
      </c>
      <c r="F255" s="14" t="s">
        <v>71</v>
      </c>
      <c r="G255" s="14" t="s">
        <v>72</v>
      </c>
      <c r="H255" s="14" t="s">
        <v>15</v>
      </c>
      <c r="I255" s="14" t="s">
        <v>20</v>
      </c>
      <c r="J255" s="14" t="s">
        <v>24</v>
      </c>
      <c r="K255" s="15" t="n">
        <v>10923.836</v>
      </c>
      <c r="L255" s="16" t="n">
        <v>57776824.03</v>
      </c>
      <c r="M255" s="0" t="n">
        <v>190104</v>
      </c>
      <c r="N255" s="14" t="s">
        <v>254</v>
      </c>
      <c r="O255" s="14" t="s">
        <v>74</v>
      </c>
      <c r="P255" s="14" t="s">
        <v>74</v>
      </c>
    </row>
    <row r="256" customFormat="false" ht="15" hidden="false" customHeight="false" outlineLevel="0" collapsed="false">
      <c r="A256" s="0" t="n">
        <v>102887267</v>
      </c>
      <c r="B256" s="0" t="n">
        <v>1</v>
      </c>
      <c r="C256" s="13" t="n">
        <v>46078</v>
      </c>
      <c r="D256" s="0" t="n">
        <v>2026</v>
      </c>
      <c r="E256" s="14" t="s">
        <v>48</v>
      </c>
      <c r="F256" s="14" t="s">
        <v>71</v>
      </c>
      <c r="G256" s="14" t="s">
        <v>72</v>
      </c>
      <c r="H256" s="14" t="s">
        <v>15</v>
      </c>
      <c r="I256" s="14" t="s">
        <v>20</v>
      </c>
      <c r="J256" s="14" t="s">
        <v>27</v>
      </c>
      <c r="K256" s="15" t="n">
        <v>3810.29</v>
      </c>
      <c r="L256" s="16" t="n">
        <v>17900000</v>
      </c>
      <c r="M256" s="0" t="n">
        <v>190108</v>
      </c>
      <c r="N256" s="14" t="s">
        <v>255</v>
      </c>
      <c r="O256" s="14" t="s">
        <v>74</v>
      </c>
      <c r="P256" s="14" t="s">
        <v>74</v>
      </c>
    </row>
    <row r="257" customFormat="false" ht="15" hidden="false" customHeight="false" outlineLevel="0" collapsed="false">
      <c r="A257" s="0" t="n">
        <v>104157871</v>
      </c>
      <c r="B257" s="0" t="n">
        <v>1</v>
      </c>
      <c r="C257" s="13" t="n">
        <v>46087</v>
      </c>
      <c r="D257" s="0" t="n">
        <v>2026</v>
      </c>
      <c r="E257" s="14" t="s">
        <v>49</v>
      </c>
      <c r="F257" s="14" t="s">
        <v>71</v>
      </c>
      <c r="G257" s="14" t="s">
        <v>72</v>
      </c>
      <c r="H257" s="14" t="s">
        <v>33</v>
      </c>
      <c r="I257" s="14" t="s">
        <v>20</v>
      </c>
      <c r="J257" s="14" t="s">
        <v>17</v>
      </c>
      <c r="K257" s="15" t="n">
        <v>584.994</v>
      </c>
      <c r="L257" s="16" t="n">
        <v>556116.11</v>
      </c>
      <c r="M257" s="0" t="n">
        <v>40505</v>
      </c>
      <c r="N257" s="14" t="s">
        <v>256</v>
      </c>
      <c r="O257" s="14" t="s">
        <v>74</v>
      </c>
      <c r="P257" s="14" t="s">
        <v>74</v>
      </c>
    </row>
    <row r="258" customFormat="false" ht="15" hidden="false" customHeight="false" outlineLevel="0" collapsed="false">
      <c r="A258" s="0" t="n">
        <v>104095846</v>
      </c>
      <c r="B258" s="0" t="n">
        <v>1</v>
      </c>
      <c r="C258" s="13" t="n">
        <v>46087</v>
      </c>
      <c r="D258" s="0" t="n">
        <v>2026</v>
      </c>
      <c r="E258" s="14" t="s">
        <v>49</v>
      </c>
      <c r="F258" s="14" t="s">
        <v>71</v>
      </c>
      <c r="G258" s="14" t="s">
        <v>72</v>
      </c>
      <c r="H258" s="14" t="s">
        <v>23</v>
      </c>
      <c r="I258" s="14" t="s">
        <v>20</v>
      </c>
      <c r="J258" s="14" t="s">
        <v>17</v>
      </c>
      <c r="K258" s="15" t="n">
        <v>10200.29</v>
      </c>
      <c r="L258" s="16" t="n">
        <v>39338105.93</v>
      </c>
      <c r="M258" s="0" t="n">
        <v>110304</v>
      </c>
      <c r="N258" s="14" t="s">
        <v>79</v>
      </c>
      <c r="O258" s="14" t="s">
        <v>74</v>
      </c>
      <c r="P258" s="14" t="s">
        <v>74</v>
      </c>
    </row>
    <row r="259" customFormat="false" ht="15" hidden="false" customHeight="false" outlineLevel="0" collapsed="false">
      <c r="A259" s="0" t="n">
        <v>108540866</v>
      </c>
      <c r="B259" s="0" t="n">
        <v>1</v>
      </c>
      <c r="C259" s="13" t="n">
        <v>46122</v>
      </c>
      <c r="D259" s="0" t="n">
        <v>2026</v>
      </c>
      <c r="E259" s="14" t="s">
        <v>50</v>
      </c>
      <c r="F259" s="14" t="s">
        <v>71</v>
      </c>
      <c r="G259" s="14" t="s">
        <v>72</v>
      </c>
      <c r="H259" s="14" t="s">
        <v>39</v>
      </c>
      <c r="I259" s="14" t="s">
        <v>20</v>
      </c>
      <c r="J259" s="14" t="s">
        <v>27</v>
      </c>
      <c r="K259" s="15" t="n">
        <v>861.36</v>
      </c>
      <c r="L259" s="16" t="n">
        <v>1860658.19</v>
      </c>
      <c r="M259" s="0" t="n">
        <v>130205</v>
      </c>
      <c r="N259" s="14" t="s">
        <v>257</v>
      </c>
      <c r="O259" s="14" t="s">
        <v>74</v>
      </c>
      <c r="P259" s="14" t="s">
        <v>74</v>
      </c>
    </row>
    <row r="260" customFormat="false" ht="15" hidden="false" customHeight="false" outlineLevel="0" collapsed="false">
      <c r="A260" s="0" t="n">
        <v>109485936</v>
      </c>
      <c r="B260" s="0" t="n">
        <v>1</v>
      </c>
      <c r="C260" s="13" t="n">
        <v>46129</v>
      </c>
      <c r="D260" s="0" t="n">
        <v>2026</v>
      </c>
      <c r="E260" s="14" t="s">
        <v>50</v>
      </c>
      <c r="F260" s="14" t="s">
        <v>71</v>
      </c>
      <c r="G260" s="14" t="s">
        <v>72</v>
      </c>
      <c r="H260" s="14" t="s">
        <v>19</v>
      </c>
      <c r="I260" s="14" t="s">
        <v>20</v>
      </c>
      <c r="J260" s="14" t="s">
        <v>17</v>
      </c>
      <c r="K260" s="15" t="n">
        <v>10332.018</v>
      </c>
      <c r="L260" s="16" t="n">
        <v>45481387.63</v>
      </c>
      <c r="M260" s="0" t="n">
        <v>120805</v>
      </c>
      <c r="N260" s="14" t="s">
        <v>224</v>
      </c>
      <c r="O260" s="14" t="s">
        <v>74</v>
      </c>
      <c r="P260" s="14" t="s">
        <v>74</v>
      </c>
    </row>
    <row r="261" customFormat="false" ht="15" hidden="false" customHeight="false" outlineLevel="0" collapsed="false">
      <c r="A261" s="0" t="n">
        <v>116378217</v>
      </c>
      <c r="B261" s="0" t="n">
        <v>1</v>
      </c>
      <c r="C261" s="13" t="n">
        <v>46181</v>
      </c>
      <c r="D261" s="0" t="n">
        <v>2026</v>
      </c>
      <c r="E261" s="14" t="s">
        <v>52</v>
      </c>
      <c r="F261" s="14" t="s">
        <v>71</v>
      </c>
      <c r="G261" s="14" t="s">
        <v>72</v>
      </c>
      <c r="H261" s="14" t="s">
        <v>15</v>
      </c>
      <c r="I261" s="14" t="s">
        <v>20</v>
      </c>
      <c r="J261" s="14" t="s">
        <v>17</v>
      </c>
      <c r="K261" s="15" t="n">
        <v>10953.277</v>
      </c>
      <c r="L261" s="16" t="n">
        <v>50428800.19</v>
      </c>
      <c r="M261" s="0" t="n">
        <v>190111</v>
      </c>
      <c r="N261" s="14" t="s">
        <v>224</v>
      </c>
      <c r="O261" s="14" t="s">
        <v>74</v>
      </c>
      <c r="P261" s="14" t="s">
        <v>74</v>
      </c>
    </row>
    <row r="262" customFormat="false" ht="15" hidden="false" customHeight="false" outlineLevel="0" collapsed="false">
      <c r="A262" s="0" t="n">
        <v>117645880</v>
      </c>
      <c r="B262" s="0" t="n">
        <v>1</v>
      </c>
      <c r="C262" s="13" t="n">
        <v>46190</v>
      </c>
      <c r="D262" s="0" t="n">
        <v>2026</v>
      </c>
      <c r="E262" s="14" t="s">
        <v>52</v>
      </c>
      <c r="F262" s="14" t="s">
        <v>71</v>
      </c>
      <c r="G262" s="14" t="s">
        <v>72</v>
      </c>
      <c r="H262" s="14" t="s">
        <v>23</v>
      </c>
      <c r="I262" s="14" t="s">
        <v>20</v>
      </c>
      <c r="J262" s="14" t="s">
        <v>17</v>
      </c>
      <c r="K262" s="15" t="n">
        <v>11811.4</v>
      </c>
      <c r="L262" s="16" t="n">
        <v>49960305.58</v>
      </c>
      <c r="M262" s="0" t="n">
        <v>110304</v>
      </c>
      <c r="N262" s="14" t="s">
        <v>79</v>
      </c>
      <c r="O262" s="14" t="s">
        <v>74</v>
      </c>
      <c r="P262" s="14" t="s">
        <v>74</v>
      </c>
    </row>
    <row r="263" customFormat="false" ht="15" hidden="false" customHeight="false" outlineLevel="0" collapsed="false">
      <c r="A263" s="0" t="n">
        <v>118701230</v>
      </c>
      <c r="B263" s="0" t="n">
        <v>1</v>
      </c>
      <c r="C263" s="13" t="n">
        <v>46199</v>
      </c>
      <c r="D263" s="0" t="n">
        <v>2026</v>
      </c>
      <c r="E263" s="14" t="s">
        <v>52</v>
      </c>
      <c r="F263" s="14" t="s">
        <v>71</v>
      </c>
      <c r="G263" s="14" t="s">
        <v>72</v>
      </c>
      <c r="H263" s="14" t="s">
        <v>39</v>
      </c>
      <c r="I263" s="14" t="s">
        <v>16</v>
      </c>
      <c r="J263" s="14" t="s">
        <v>31</v>
      </c>
      <c r="K263" s="15" t="n">
        <v>1165.381</v>
      </c>
      <c r="L263" s="16" t="n">
        <v>1506592.9</v>
      </c>
      <c r="M263" s="0" t="n">
        <v>130101</v>
      </c>
      <c r="N263" s="14" t="s">
        <v>142</v>
      </c>
      <c r="O263" s="14" t="s">
        <v>74</v>
      </c>
      <c r="P263" s="14" t="s">
        <v>74</v>
      </c>
    </row>
    <row r="264" customFormat="false" ht="28.35" hidden="false" customHeight="false" outlineLevel="0" collapsed="false">
      <c r="A264" s="0" t="n">
        <v>119767735</v>
      </c>
      <c r="B264" s="0" t="n">
        <v>1</v>
      </c>
      <c r="C264" s="13" t="n">
        <v>46207</v>
      </c>
      <c r="D264" s="0" t="n">
        <v>2026</v>
      </c>
      <c r="E264" s="14" t="s">
        <v>53</v>
      </c>
      <c r="F264" s="14" t="s">
        <v>71</v>
      </c>
      <c r="G264" s="14" t="s">
        <v>72</v>
      </c>
      <c r="H264" s="14" t="s">
        <v>23</v>
      </c>
      <c r="I264" s="14" t="s">
        <v>20</v>
      </c>
      <c r="J264" s="14" t="s">
        <v>27</v>
      </c>
      <c r="K264" s="15" t="n">
        <v>2574.138</v>
      </c>
      <c r="L264" s="16" t="n">
        <v>12519423.13</v>
      </c>
      <c r="M264" s="0" t="n">
        <v>110305</v>
      </c>
      <c r="N264" s="17" t="s">
        <v>258</v>
      </c>
      <c r="O264" s="14" t="s">
        <v>74</v>
      </c>
      <c r="P264" s="14" t="s">
        <v>74</v>
      </c>
    </row>
    <row r="265" customFormat="false" ht="15" hidden="false" customHeight="false" outlineLevel="0" collapsed="false">
      <c r="A265" s="0" t="n">
        <v>120130216</v>
      </c>
      <c r="B265" s="0" t="n">
        <v>1</v>
      </c>
      <c r="C265" s="13" t="n">
        <v>46210</v>
      </c>
      <c r="D265" s="0" t="n">
        <v>2026</v>
      </c>
      <c r="E265" s="14" t="s">
        <v>53</v>
      </c>
      <c r="F265" s="14" t="s">
        <v>71</v>
      </c>
      <c r="G265" s="14" t="s">
        <v>72</v>
      </c>
      <c r="H265" s="14" t="s">
        <v>19</v>
      </c>
      <c r="I265" s="14" t="s">
        <v>20</v>
      </c>
      <c r="J265" s="14" t="s">
        <v>17</v>
      </c>
      <c r="K265" s="15" t="n">
        <v>9090.487</v>
      </c>
      <c r="L265" s="16" t="n">
        <v>42219004.6</v>
      </c>
      <c r="M265" s="0" t="n">
        <v>120805</v>
      </c>
      <c r="N265" s="14" t="s">
        <v>79</v>
      </c>
      <c r="O265" s="14" t="s">
        <v>74</v>
      </c>
      <c r="P265" s="14" t="s">
        <v>74</v>
      </c>
    </row>
    <row r="266" customFormat="false" ht="15" hidden="false" customHeight="false" outlineLevel="0" collapsed="false">
      <c r="A266" s="0" t="n">
        <v>104742225</v>
      </c>
      <c r="B266" s="0" t="n">
        <v>1</v>
      </c>
      <c r="C266" s="13" t="n">
        <v>46093</v>
      </c>
      <c r="D266" s="0" t="n">
        <v>2026</v>
      </c>
      <c r="E266" s="14" t="s">
        <v>49</v>
      </c>
      <c r="F266" s="14" t="s">
        <v>71</v>
      </c>
      <c r="G266" s="14" t="s">
        <v>72</v>
      </c>
      <c r="H266" s="14" t="s">
        <v>39</v>
      </c>
      <c r="I266" s="14" t="s">
        <v>16</v>
      </c>
      <c r="J266" s="14" t="s">
        <v>31</v>
      </c>
      <c r="K266" s="15" t="n">
        <v>459.877</v>
      </c>
      <c r="L266" s="16" t="n">
        <v>778171.82</v>
      </c>
      <c r="M266" s="0" t="n">
        <v>130101</v>
      </c>
      <c r="N266" s="14" t="s">
        <v>259</v>
      </c>
      <c r="O266" s="14" t="s">
        <v>74</v>
      </c>
      <c r="P266" s="14" t="s">
        <v>74</v>
      </c>
    </row>
    <row r="267" customFormat="false" ht="15" hidden="false" customHeight="false" outlineLevel="0" collapsed="false">
      <c r="A267" s="0" t="n">
        <v>107832951</v>
      </c>
      <c r="B267" s="0" t="n">
        <v>1</v>
      </c>
      <c r="C267" s="13" t="n">
        <v>46118</v>
      </c>
      <c r="D267" s="0" t="n">
        <v>2026</v>
      </c>
      <c r="E267" s="14" t="s">
        <v>50</v>
      </c>
      <c r="F267" s="14" t="s">
        <v>71</v>
      </c>
      <c r="G267" s="14" t="s">
        <v>72</v>
      </c>
      <c r="H267" s="14" t="s">
        <v>39</v>
      </c>
      <c r="I267" s="14" t="s">
        <v>16</v>
      </c>
      <c r="J267" s="14" t="s">
        <v>31</v>
      </c>
      <c r="K267" s="15" t="n">
        <v>1125.584</v>
      </c>
      <c r="L267" s="16" t="n">
        <v>1238437.25</v>
      </c>
      <c r="M267" s="0" t="n">
        <v>130101</v>
      </c>
      <c r="N267" s="14" t="s">
        <v>260</v>
      </c>
      <c r="O267" s="14" t="s">
        <v>74</v>
      </c>
      <c r="P267" s="14" t="s">
        <v>74</v>
      </c>
    </row>
    <row r="268" customFormat="false" ht="15" hidden="false" customHeight="false" outlineLevel="0" collapsed="false">
      <c r="A268" s="0" t="n">
        <v>108014464</v>
      </c>
      <c r="B268" s="0" t="n">
        <v>1</v>
      </c>
      <c r="C268" s="13" t="n">
        <v>46119</v>
      </c>
      <c r="D268" s="0" t="n">
        <v>2026</v>
      </c>
      <c r="E268" s="14" t="s">
        <v>50</v>
      </c>
      <c r="F268" s="14" t="s">
        <v>71</v>
      </c>
      <c r="G268" s="14" t="s">
        <v>72</v>
      </c>
      <c r="H268" s="14" t="s">
        <v>30</v>
      </c>
      <c r="I268" s="14" t="s">
        <v>20</v>
      </c>
      <c r="J268" s="14" t="s">
        <v>27</v>
      </c>
      <c r="K268" s="15" t="n">
        <v>866.73</v>
      </c>
      <c r="L268" s="16" t="n">
        <v>677177.56</v>
      </c>
      <c r="M268" s="0" t="n">
        <v>150202</v>
      </c>
      <c r="N268" s="14" t="s">
        <v>261</v>
      </c>
      <c r="O268" s="14" t="s">
        <v>74</v>
      </c>
      <c r="P268" s="14" t="s">
        <v>74</v>
      </c>
    </row>
    <row r="269" customFormat="false" ht="15" hidden="false" customHeight="false" outlineLevel="0" collapsed="false">
      <c r="A269" s="0" t="n">
        <v>108063138</v>
      </c>
      <c r="B269" s="0" t="n">
        <v>1</v>
      </c>
      <c r="C269" s="13" t="n">
        <v>46119</v>
      </c>
      <c r="D269" s="0" t="n">
        <v>2026</v>
      </c>
      <c r="E269" s="14" t="s">
        <v>50</v>
      </c>
      <c r="F269" s="14" t="s">
        <v>71</v>
      </c>
      <c r="G269" s="14" t="s">
        <v>72</v>
      </c>
      <c r="H269" s="14" t="s">
        <v>19</v>
      </c>
      <c r="I269" s="14" t="s">
        <v>20</v>
      </c>
      <c r="J269" s="14" t="s">
        <v>17</v>
      </c>
      <c r="K269" s="15" t="n">
        <v>11610.55</v>
      </c>
      <c r="L269" s="16" t="n">
        <v>45351464.92</v>
      </c>
      <c r="M269" s="0" t="n">
        <v>120805</v>
      </c>
      <c r="N269" s="14" t="s">
        <v>79</v>
      </c>
      <c r="O269" s="14" t="s">
        <v>74</v>
      </c>
      <c r="P269" s="14" t="s">
        <v>74</v>
      </c>
    </row>
    <row r="270" customFormat="false" ht="15" hidden="false" customHeight="false" outlineLevel="0" collapsed="false">
      <c r="A270" s="0" t="n">
        <v>108482375</v>
      </c>
      <c r="B270" s="0" t="n">
        <v>1</v>
      </c>
      <c r="C270" s="13" t="n">
        <v>46122</v>
      </c>
      <c r="D270" s="0" t="n">
        <v>2026</v>
      </c>
      <c r="E270" s="14" t="s">
        <v>50</v>
      </c>
      <c r="F270" s="14" t="s">
        <v>106</v>
      </c>
      <c r="G270" s="14" t="s">
        <v>107</v>
      </c>
      <c r="H270" s="14" t="s">
        <v>39</v>
      </c>
      <c r="I270" s="14" t="s">
        <v>16</v>
      </c>
      <c r="J270" s="14" t="s">
        <v>137</v>
      </c>
      <c r="K270" s="15" t="n">
        <v>342.715</v>
      </c>
      <c r="L270" s="16" t="n">
        <v>237976</v>
      </c>
      <c r="M270" s="0" t="n">
        <v>130101</v>
      </c>
      <c r="N270" s="14" t="s">
        <v>262</v>
      </c>
      <c r="O270" s="14" t="s">
        <v>74</v>
      </c>
      <c r="P270" s="14" t="s">
        <v>74</v>
      </c>
    </row>
    <row r="271" customFormat="false" ht="15" hidden="false" customHeight="false" outlineLevel="0" collapsed="false">
      <c r="A271" s="0" t="n">
        <v>110156411</v>
      </c>
      <c r="B271" s="0" t="n">
        <v>1</v>
      </c>
      <c r="C271" s="13" t="n">
        <v>46135</v>
      </c>
      <c r="D271" s="0" t="n">
        <v>2026</v>
      </c>
      <c r="E271" s="14" t="s">
        <v>50</v>
      </c>
      <c r="F271" s="14" t="s">
        <v>71</v>
      </c>
      <c r="G271" s="14" t="s">
        <v>72</v>
      </c>
      <c r="H271" s="14" t="s">
        <v>30</v>
      </c>
      <c r="I271" s="14" t="s">
        <v>20</v>
      </c>
      <c r="J271" s="14" t="s">
        <v>27</v>
      </c>
      <c r="K271" s="15" t="n">
        <v>909.11</v>
      </c>
      <c r="L271" s="16" t="n">
        <v>614166</v>
      </c>
      <c r="M271" s="0" t="n">
        <v>150202</v>
      </c>
      <c r="N271" s="14" t="s">
        <v>263</v>
      </c>
      <c r="O271" s="14" t="s">
        <v>74</v>
      </c>
      <c r="P271" s="14" t="s">
        <v>74</v>
      </c>
    </row>
    <row r="272" customFormat="false" ht="15" hidden="false" customHeight="false" outlineLevel="0" collapsed="false">
      <c r="A272" s="0" t="n">
        <v>111825042</v>
      </c>
      <c r="B272" s="0" t="n">
        <v>1</v>
      </c>
      <c r="C272" s="13" t="n">
        <v>46147</v>
      </c>
      <c r="D272" s="0" t="n">
        <v>2026</v>
      </c>
      <c r="E272" s="14" t="s">
        <v>51</v>
      </c>
      <c r="F272" s="14" t="s">
        <v>71</v>
      </c>
      <c r="G272" s="14" t="s">
        <v>72</v>
      </c>
      <c r="H272" s="14" t="s">
        <v>30</v>
      </c>
      <c r="I272" s="14" t="s">
        <v>20</v>
      </c>
      <c r="J272" s="14" t="s">
        <v>27</v>
      </c>
      <c r="K272" s="15" t="n">
        <v>865.11</v>
      </c>
      <c r="L272" s="16" t="n">
        <v>638337</v>
      </c>
      <c r="M272" s="0" t="n">
        <v>150202</v>
      </c>
      <c r="N272" s="14" t="s">
        <v>264</v>
      </c>
      <c r="O272" s="14" t="s">
        <v>74</v>
      </c>
      <c r="P272" s="14" t="s">
        <v>74</v>
      </c>
    </row>
    <row r="273" customFormat="false" ht="15" hidden="false" customHeight="false" outlineLevel="0" collapsed="false">
      <c r="A273" s="0" t="n">
        <v>111905958</v>
      </c>
      <c r="B273" s="0" t="n">
        <v>1</v>
      </c>
      <c r="C273" s="13" t="n">
        <v>46148</v>
      </c>
      <c r="D273" s="0" t="n">
        <v>2026</v>
      </c>
      <c r="E273" s="14" t="s">
        <v>51</v>
      </c>
      <c r="F273" s="14" t="s">
        <v>71</v>
      </c>
      <c r="G273" s="14" t="s">
        <v>72</v>
      </c>
      <c r="H273" s="14" t="s">
        <v>30</v>
      </c>
      <c r="I273" s="14" t="s">
        <v>20</v>
      </c>
      <c r="J273" s="14" t="s">
        <v>27</v>
      </c>
      <c r="K273" s="15" t="n">
        <v>830.43</v>
      </c>
      <c r="L273" s="16" t="n">
        <v>622467</v>
      </c>
      <c r="M273" s="0" t="n">
        <v>150202</v>
      </c>
      <c r="N273" s="14" t="s">
        <v>265</v>
      </c>
      <c r="O273" s="14" t="s">
        <v>74</v>
      </c>
      <c r="P273" s="14" t="s">
        <v>74</v>
      </c>
    </row>
    <row r="274" customFormat="false" ht="15" hidden="false" customHeight="false" outlineLevel="0" collapsed="false">
      <c r="A274" s="0" t="n">
        <v>113666452</v>
      </c>
      <c r="B274" s="0" t="n">
        <v>1</v>
      </c>
      <c r="C274" s="13" t="n">
        <v>46161</v>
      </c>
      <c r="D274" s="0" t="n">
        <v>2026</v>
      </c>
      <c r="E274" s="14" t="s">
        <v>51</v>
      </c>
      <c r="F274" s="14" t="s">
        <v>71</v>
      </c>
      <c r="G274" s="14" t="s">
        <v>72</v>
      </c>
      <c r="H274" s="14" t="s">
        <v>39</v>
      </c>
      <c r="I274" s="14" t="s">
        <v>16</v>
      </c>
      <c r="J274" s="14" t="s">
        <v>31</v>
      </c>
      <c r="K274" s="15" t="n">
        <v>1507.839</v>
      </c>
      <c r="L274" s="16" t="n">
        <v>1893379.61</v>
      </c>
      <c r="M274" s="0" t="n">
        <v>130101</v>
      </c>
      <c r="N274" s="14" t="s">
        <v>142</v>
      </c>
      <c r="O274" s="14" t="s">
        <v>74</v>
      </c>
      <c r="P274" s="14" t="s">
        <v>74</v>
      </c>
    </row>
    <row r="275" customFormat="false" ht="15" hidden="false" customHeight="false" outlineLevel="0" collapsed="false">
      <c r="A275" s="0" t="n">
        <v>114172578</v>
      </c>
      <c r="B275" s="0" t="n">
        <v>1</v>
      </c>
      <c r="C275" s="13" t="n">
        <v>46164</v>
      </c>
      <c r="D275" s="0" t="n">
        <v>2026</v>
      </c>
      <c r="E275" s="14" t="s">
        <v>51</v>
      </c>
      <c r="F275" s="14" t="s">
        <v>71</v>
      </c>
      <c r="G275" s="14" t="s">
        <v>72</v>
      </c>
      <c r="H275" s="14" t="s">
        <v>30</v>
      </c>
      <c r="I275" s="14" t="s">
        <v>16</v>
      </c>
      <c r="J275" s="14" t="s">
        <v>27</v>
      </c>
      <c r="K275" s="15" t="n">
        <v>903.057</v>
      </c>
      <c r="L275" s="16" t="n">
        <v>729697.15</v>
      </c>
      <c r="M275" s="0" t="n">
        <v>150202</v>
      </c>
      <c r="N275" s="14" t="s">
        <v>148</v>
      </c>
      <c r="O275" s="14" t="s">
        <v>74</v>
      </c>
      <c r="P275" s="14" t="s">
        <v>74</v>
      </c>
    </row>
    <row r="276" customFormat="false" ht="15" hidden="false" customHeight="false" outlineLevel="0" collapsed="false">
      <c r="A276" s="0" t="n">
        <v>114702080</v>
      </c>
      <c r="B276" s="0" t="n">
        <v>1</v>
      </c>
      <c r="C276" s="13" t="n">
        <v>46169</v>
      </c>
      <c r="D276" s="0" t="n">
        <v>2026</v>
      </c>
      <c r="E276" s="14" t="s">
        <v>51</v>
      </c>
      <c r="F276" s="14" t="s">
        <v>71</v>
      </c>
      <c r="G276" s="14" t="s">
        <v>72</v>
      </c>
      <c r="H276" s="14" t="s">
        <v>39</v>
      </c>
      <c r="I276" s="14" t="s">
        <v>20</v>
      </c>
      <c r="J276" s="14" t="s">
        <v>31</v>
      </c>
      <c r="K276" s="15" t="n">
        <v>1271.856</v>
      </c>
      <c r="L276" s="16" t="n">
        <v>2195803.15</v>
      </c>
      <c r="M276" s="0" t="n">
        <v>130105</v>
      </c>
      <c r="N276" s="14" t="s">
        <v>266</v>
      </c>
      <c r="O276" s="14" t="s">
        <v>74</v>
      </c>
      <c r="P276" s="14" t="s">
        <v>74</v>
      </c>
    </row>
    <row r="277" customFormat="false" ht="15" hidden="false" customHeight="false" outlineLevel="0" collapsed="false">
      <c r="A277" s="0" t="n">
        <v>115131429</v>
      </c>
      <c r="B277" s="0" t="n">
        <v>1</v>
      </c>
      <c r="C277" s="13" t="n">
        <v>46171</v>
      </c>
      <c r="D277" s="0" t="n">
        <v>2026</v>
      </c>
      <c r="E277" s="14" t="s">
        <v>51</v>
      </c>
      <c r="F277" s="14" t="s">
        <v>71</v>
      </c>
      <c r="G277" s="14" t="s">
        <v>72</v>
      </c>
      <c r="H277" s="14" t="s">
        <v>30</v>
      </c>
      <c r="I277" s="14" t="s">
        <v>16</v>
      </c>
      <c r="J277" s="14" t="s">
        <v>27</v>
      </c>
      <c r="K277" s="15" t="n">
        <v>520.268</v>
      </c>
      <c r="L277" s="16" t="n">
        <v>417052.03</v>
      </c>
      <c r="M277" s="0" t="n">
        <v>150202</v>
      </c>
      <c r="N277" s="14" t="s">
        <v>148</v>
      </c>
      <c r="O277" s="14" t="s">
        <v>74</v>
      </c>
      <c r="P277" s="14" t="s">
        <v>74</v>
      </c>
    </row>
    <row r="278" customFormat="false" ht="15" hidden="false" customHeight="false" outlineLevel="0" collapsed="false">
      <c r="A278" s="0" t="n">
        <v>115826314</v>
      </c>
      <c r="B278" s="0" t="n">
        <v>1</v>
      </c>
      <c r="C278" s="13" t="n">
        <v>46176</v>
      </c>
      <c r="D278" s="0" t="n">
        <v>2026</v>
      </c>
      <c r="E278" s="14" t="s">
        <v>52</v>
      </c>
      <c r="F278" s="14" t="s">
        <v>71</v>
      </c>
      <c r="G278" s="14" t="s">
        <v>72</v>
      </c>
      <c r="H278" s="14" t="s">
        <v>30</v>
      </c>
      <c r="I278" s="14" t="s">
        <v>20</v>
      </c>
      <c r="J278" s="14" t="s">
        <v>27</v>
      </c>
      <c r="K278" s="15" t="n">
        <v>896.26</v>
      </c>
      <c r="L278" s="16" t="n">
        <v>644505</v>
      </c>
      <c r="M278" s="0" t="n">
        <v>150202</v>
      </c>
      <c r="N278" s="14" t="s">
        <v>267</v>
      </c>
      <c r="O278" s="14" t="s">
        <v>74</v>
      </c>
      <c r="P278" s="14" t="s">
        <v>74</v>
      </c>
    </row>
    <row r="279" customFormat="false" ht="15" hidden="false" customHeight="false" outlineLevel="0" collapsed="false">
      <c r="A279" s="0" t="n">
        <v>116779838</v>
      </c>
      <c r="B279" s="0" t="n">
        <v>1</v>
      </c>
      <c r="C279" s="13" t="n">
        <v>46184</v>
      </c>
      <c r="D279" s="0" t="n">
        <v>2026</v>
      </c>
      <c r="E279" s="14" t="s">
        <v>52</v>
      </c>
      <c r="F279" s="14" t="s">
        <v>71</v>
      </c>
      <c r="G279" s="14" t="s">
        <v>72</v>
      </c>
      <c r="H279" s="14" t="s">
        <v>30</v>
      </c>
      <c r="I279" s="14" t="s">
        <v>20</v>
      </c>
      <c r="J279" s="14" t="s">
        <v>27</v>
      </c>
      <c r="K279" s="15" t="n">
        <v>807.43</v>
      </c>
      <c r="L279" s="16" t="n">
        <v>530163</v>
      </c>
      <c r="M279" s="0" t="n">
        <v>150202</v>
      </c>
      <c r="N279" s="14" t="s">
        <v>268</v>
      </c>
      <c r="O279" s="14" t="s">
        <v>74</v>
      </c>
      <c r="P279" s="14" t="s">
        <v>74</v>
      </c>
    </row>
    <row r="280" customFormat="false" ht="15" hidden="false" customHeight="false" outlineLevel="0" collapsed="false">
      <c r="A280" s="0" t="n">
        <v>116902025</v>
      </c>
      <c r="B280" s="0" t="n">
        <v>1</v>
      </c>
      <c r="C280" s="13" t="n">
        <v>46185</v>
      </c>
      <c r="D280" s="0" t="n">
        <v>2026</v>
      </c>
      <c r="E280" s="14" t="s">
        <v>52</v>
      </c>
      <c r="F280" s="14" t="s">
        <v>71</v>
      </c>
      <c r="G280" s="14" t="s">
        <v>72</v>
      </c>
      <c r="H280" s="14" t="s">
        <v>30</v>
      </c>
      <c r="I280" s="14" t="s">
        <v>20</v>
      </c>
      <c r="J280" s="14" t="s">
        <v>27</v>
      </c>
      <c r="K280" s="15" t="n">
        <v>896.22</v>
      </c>
      <c r="L280" s="16" t="n">
        <v>611555</v>
      </c>
      <c r="M280" s="0" t="n">
        <v>150202</v>
      </c>
      <c r="N280" s="14" t="s">
        <v>269</v>
      </c>
      <c r="O280" s="14" t="s">
        <v>74</v>
      </c>
      <c r="P280" s="14" t="s">
        <v>74</v>
      </c>
    </row>
    <row r="281" customFormat="false" ht="15" hidden="false" customHeight="false" outlineLevel="0" collapsed="false">
      <c r="A281" s="0" t="n">
        <v>118653862</v>
      </c>
      <c r="B281" s="0" t="n">
        <v>1</v>
      </c>
      <c r="C281" s="13" t="n">
        <v>46198</v>
      </c>
      <c r="D281" s="0" t="n">
        <v>2026</v>
      </c>
      <c r="E281" s="14" t="s">
        <v>52</v>
      </c>
      <c r="F281" s="14" t="s">
        <v>103</v>
      </c>
      <c r="G281" s="14" t="s">
        <v>104</v>
      </c>
      <c r="H281" s="14" t="s">
        <v>85</v>
      </c>
      <c r="I281" s="14" t="s">
        <v>20</v>
      </c>
      <c r="J281" s="14" t="s">
        <v>40</v>
      </c>
      <c r="K281" s="15" t="n">
        <v>46.8</v>
      </c>
      <c r="L281" s="16" t="n">
        <v>1238324.56</v>
      </c>
      <c r="M281" s="0" t="n">
        <v>80801</v>
      </c>
      <c r="N281" s="14" t="s">
        <v>208</v>
      </c>
      <c r="O281" s="14" t="s">
        <v>74</v>
      </c>
      <c r="P281" s="14" t="s">
        <v>74</v>
      </c>
    </row>
    <row r="282" customFormat="false" ht="15" hidden="false" customHeight="false" outlineLevel="0" collapsed="false">
      <c r="A282" s="0" t="n">
        <v>119832958</v>
      </c>
      <c r="B282" s="0" t="n">
        <v>1</v>
      </c>
      <c r="C282" s="13" t="n">
        <v>46207</v>
      </c>
      <c r="D282" s="0" t="n">
        <v>2026</v>
      </c>
      <c r="E282" s="14" t="s">
        <v>53</v>
      </c>
      <c r="F282" s="14" t="s">
        <v>71</v>
      </c>
      <c r="G282" s="14" t="s">
        <v>72</v>
      </c>
      <c r="H282" s="14" t="s">
        <v>30</v>
      </c>
      <c r="I282" s="14" t="s">
        <v>20</v>
      </c>
      <c r="J282" s="14" t="s">
        <v>27</v>
      </c>
      <c r="K282" s="15" t="n">
        <v>302.12</v>
      </c>
      <c r="L282" s="16" t="n">
        <v>629357</v>
      </c>
      <c r="M282" s="0" t="n">
        <v>150202</v>
      </c>
      <c r="N282" s="14" t="s">
        <v>270</v>
      </c>
      <c r="O282" s="14" t="s">
        <v>74</v>
      </c>
      <c r="P282" s="14" t="s">
        <v>74</v>
      </c>
    </row>
    <row r="283" customFormat="false" ht="15" hidden="false" customHeight="false" outlineLevel="0" collapsed="false">
      <c r="A283" s="0" t="n">
        <v>119583202</v>
      </c>
      <c r="B283" s="0" t="n">
        <v>1</v>
      </c>
      <c r="C283" s="13" t="n">
        <v>46206</v>
      </c>
      <c r="D283" s="0" t="n">
        <v>2026</v>
      </c>
      <c r="E283" s="14" t="s">
        <v>53</v>
      </c>
      <c r="F283" s="14" t="s">
        <v>71</v>
      </c>
      <c r="G283" s="14" t="s">
        <v>72</v>
      </c>
      <c r="H283" s="14" t="s">
        <v>30</v>
      </c>
      <c r="I283" s="14" t="s">
        <v>20</v>
      </c>
      <c r="J283" s="14" t="s">
        <v>27</v>
      </c>
      <c r="K283" s="15" t="n">
        <v>897.64</v>
      </c>
      <c r="L283" s="16" t="n">
        <v>552360</v>
      </c>
      <c r="M283" s="0" t="n">
        <v>150202</v>
      </c>
      <c r="N283" s="14" t="s">
        <v>271</v>
      </c>
      <c r="O283" s="14" t="s">
        <v>74</v>
      </c>
      <c r="P283" s="14" t="s">
        <v>74</v>
      </c>
    </row>
    <row r="284" customFormat="false" ht="15" hidden="false" customHeight="false" outlineLevel="0" collapsed="false">
      <c r="A284" s="0" t="n">
        <v>120094040</v>
      </c>
      <c r="B284" s="0" t="n">
        <v>1</v>
      </c>
      <c r="C284" s="13" t="n">
        <v>46210</v>
      </c>
      <c r="D284" s="0" t="n">
        <v>2026</v>
      </c>
      <c r="E284" s="14" t="s">
        <v>53</v>
      </c>
      <c r="F284" s="14" t="s">
        <v>71</v>
      </c>
      <c r="G284" s="14" t="s">
        <v>72</v>
      </c>
      <c r="H284" s="14" t="s">
        <v>30</v>
      </c>
      <c r="I284" s="14" t="s">
        <v>20</v>
      </c>
      <c r="J284" s="14" t="s">
        <v>27</v>
      </c>
      <c r="K284" s="15" t="n">
        <v>900.21</v>
      </c>
      <c r="L284" s="16" t="n">
        <v>506626</v>
      </c>
      <c r="M284" s="0" t="n">
        <v>150202</v>
      </c>
      <c r="N284" s="14" t="s">
        <v>272</v>
      </c>
      <c r="O284" s="14" t="s">
        <v>74</v>
      </c>
      <c r="P284" s="14" t="s">
        <v>74</v>
      </c>
    </row>
    <row r="285" customFormat="false" ht="28.35" hidden="false" customHeight="false" outlineLevel="0" collapsed="false">
      <c r="A285" s="0" t="n">
        <v>120190431</v>
      </c>
      <c r="B285" s="0" t="n">
        <v>1</v>
      </c>
      <c r="C285" s="13" t="n">
        <v>46211</v>
      </c>
      <c r="D285" s="0" t="n">
        <v>2026</v>
      </c>
      <c r="E285" s="14" t="s">
        <v>53</v>
      </c>
      <c r="F285" s="14" t="s">
        <v>71</v>
      </c>
      <c r="G285" s="14" t="s">
        <v>72</v>
      </c>
      <c r="H285" s="14" t="s">
        <v>15</v>
      </c>
      <c r="I285" s="14" t="s">
        <v>20</v>
      </c>
      <c r="J285" s="14" t="s">
        <v>27</v>
      </c>
      <c r="K285" s="15" t="n">
        <v>1908.067</v>
      </c>
      <c r="L285" s="16" t="n">
        <v>10182042.94</v>
      </c>
      <c r="M285" s="0" t="n">
        <v>190108</v>
      </c>
      <c r="N285" s="17" t="s">
        <v>273</v>
      </c>
      <c r="O285" s="14" t="s">
        <v>74</v>
      </c>
      <c r="P285" s="14" t="s">
        <v>74</v>
      </c>
    </row>
    <row r="286" customFormat="false" ht="15" hidden="false" customHeight="false" outlineLevel="0" collapsed="false">
      <c r="A286" s="0" t="n">
        <v>122204057</v>
      </c>
      <c r="B286" s="0" t="n">
        <v>1</v>
      </c>
      <c r="C286" s="13" t="n">
        <v>46225</v>
      </c>
      <c r="D286" s="0" t="n">
        <v>2026</v>
      </c>
      <c r="E286" s="14" t="s">
        <v>53</v>
      </c>
      <c r="F286" s="14" t="s">
        <v>71</v>
      </c>
      <c r="G286" s="14" t="s">
        <v>72</v>
      </c>
      <c r="H286" s="14" t="s">
        <v>39</v>
      </c>
      <c r="I286" s="14" t="s">
        <v>20</v>
      </c>
      <c r="J286" s="14" t="s">
        <v>31</v>
      </c>
      <c r="K286" s="15" t="n">
        <v>440.095</v>
      </c>
      <c r="L286" s="16" t="n">
        <v>646272.13</v>
      </c>
      <c r="M286" s="0" t="n">
        <v>130105</v>
      </c>
      <c r="N286" s="14" t="s">
        <v>274</v>
      </c>
      <c r="O286" s="14" t="s">
        <v>74</v>
      </c>
      <c r="P286" s="14" t="s">
        <v>74</v>
      </c>
    </row>
    <row r="287" customFormat="false" ht="15" hidden="false" customHeight="false" outlineLevel="0" collapsed="false">
      <c r="A287" s="0" t="n">
        <v>122243564</v>
      </c>
      <c r="B287" s="0" t="n">
        <v>1</v>
      </c>
      <c r="C287" s="13" t="n">
        <v>46225</v>
      </c>
      <c r="D287" s="0" t="n">
        <v>2026</v>
      </c>
      <c r="E287" s="14" t="s">
        <v>53</v>
      </c>
      <c r="F287" s="14" t="s">
        <v>71</v>
      </c>
      <c r="G287" s="14" t="s">
        <v>72</v>
      </c>
      <c r="H287" s="14" t="s">
        <v>15</v>
      </c>
      <c r="I287" s="14" t="s">
        <v>20</v>
      </c>
      <c r="J287" s="14" t="s">
        <v>17</v>
      </c>
      <c r="K287" s="15" t="n">
        <v>656.73</v>
      </c>
      <c r="L287" s="16" t="n">
        <v>451488.19</v>
      </c>
      <c r="M287" s="0" t="n">
        <v>190201</v>
      </c>
      <c r="N287" s="14" t="s">
        <v>275</v>
      </c>
      <c r="O287" s="14" t="s">
        <v>74</v>
      </c>
      <c r="P287" s="14" t="s">
        <v>74</v>
      </c>
    </row>
    <row r="288" customFormat="false" ht="15" hidden="false" customHeight="false" outlineLevel="0" collapsed="false">
      <c r="A288" s="0" t="n">
        <v>123944207</v>
      </c>
      <c r="B288" s="0" t="n">
        <v>1</v>
      </c>
      <c r="C288" s="13" t="n">
        <v>46238</v>
      </c>
      <c r="D288" s="0" t="n">
        <v>2026</v>
      </c>
      <c r="E288" s="14" t="s">
        <v>54</v>
      </c>
      <c r="F288" s="14" t="s">
        <v>71</v>
      </c>
      <c r="G288" s="14" t="s">
        <v>72</v>
      </c>
      <c r="H288" s="14" t="s">
        <v>30</v>
      </c>
      <c r="I288" s="14" t="s">
        <v>20</v>
      </c>
      <c r="J288" s="14" t="s">
        <v>27</v>
      </c>
      <c r="K288" s="15" t="n">
        <v>910.51</v>
      </c>
      <c r="L288" s="16" t="n">
        <v>528118</v>
      </c>
      <c r="M288" s="0" t="n">
        <v>150202</v>
      </c>
      <c r="N288" s="14" t="s">
        <v>276</v>
      </c>
      <c r="O288" s="14" t="s">
        <v>74</v>
      </c>
      <c r="P288" s="14" t="s">
        <v>74</v>
      </c>
    </row>
    <row r="289" customFormat="false" ht="15" hidden="false" customHeight="false" outlineLevel="0" collapsed="false">
      <c r="A289" s="0" t="n">
        <v>124271836</v>
      </c>
      <c r="B289" s="0" t="n">
        <v>1</v>
      </c>
      <c r="C289" s="13" t="n">
        <v>46239</v>
      </c>
      <c r="D289" s="0" t="n">
        <v>2026</v>
      </c>
      <c r="E289" s="14" t="s">
        <v>54</v>
      </c>
      <c r="F289" s="14" t="s">
        <v>277</v>
      </c>
      <c r="G289" s="14" t="s">
        <v>278</v>
      </c>
      <c r="H289" s="14" t="s">
        <v>39</v>
      </c>
      <c r="I289" s="14" t="s">
        <v>20</v>
      </c>
      <c r="J289" s="14" t="s">
        <v>279</v>
      </c>
      <c r="K289" s="15" t="n">
        <v>8849.988</v>
      </c>
      <c r="L289" s="16" t="n">
        <v>2186418.15</v>
      </c>
      <c r="M289" s="0" t="n">
        <v>130601</v>
      </c>
      <c r="N289" s="14" t="s">
        <v>280</v>
      </c>
      <c r="O289" s="14" t="s">
        <v>74</v>
      </c>
      <c r="P289" s="14" t="s">
        <v>74</v>
      </c>
    </row>
    <row r="290" customFormat="false" ht="28.35" hidden="false" customHeight="false" outlineLevel="0" collapsed="false">
      <c r="A290" s="0" t="n">
        <v>127295312</v>
      </c>
      <c r="B290" s="0" t="n">
        <v>1</v>
      </c>
      <c r="C290" s="13" t="n">
        <v>46261</v>
      </c>
      <c r="D290" s="0" t="n">
        <v>2026</v>
      </c>
      <c r="E290" s="14" t="s">
        <v>54</v>
      </c>
      <c r="F290" s="14" t="s">
        <v>71</v>
      </c>
      <c r="G290" s="14" t="s">
        <v>72</v>
      </c>
      <c r="H290" s="14" t="s">
        <v>44</v>
      </c>
      <c r="I290" s="14" t="s">
        <v>20</v>
      </c>
      <c r="J290" s="14" t="s">
        <v>27</v>
      </c>
      <c r="K290" s="15" t="n">
        <v>368.903</v>
      </c>
      <c r="L290" s="16" t="n">
        <v>1027802.78</v>
      </c>
      <c r="M290" s="0" t="n">
        <v>200111</v>
      </c>
      <c r="N290" s="17" t="s">
        <v>281</v>
      </c>
      <c r="O290" s="14" t="s">
        <v>74</v>
      </c>
      <c r="P290" s="14" t="s">
        <v>74</v>
      </c>
    </row>
    <row r="291" customFormat="false" ht="28.35" hidden="false" customHeight="false" outlineLevel="0" collapsed="false">
      <c r="A291" s="0" t="n">
        <v>127660999</v>
      </c>
      <c r="B291" s="0" t="n">
        <v>1</v>
      </c>
      <c r="C291" s="13" t="n">
        <v>46263</v>
      </c>
      <c r="D291" s="0" t="n">
        <v>2026</v>
      </c>
      <c r="E291" s="14" t="s">
        <v>54</v>
      </c>
      <c r="F291" s="14" t="s">
        <v>71</v>
      </c>
      <c r="G291" s="14" t="s">
        <v>72</v>
      </c>
      <c r="H291" s="14" t="s">
        <v>282</v>
      </c>
      <c r="I291" s="14" t="s">
        <v>20</v>
      </c>
      <c r="J291" s="14" t="s">
        <v>27</v>
      </c>
      <c r="K291" s="15" t="n">
        <v>2791.511</v>
      </c>
      <c r="L291" s="16" t="n">
        <v>11253781.19</v>
      </c>
      <c r="M291" s="0" t="n">
        <v>140119</v>
      </c>
      <c r="N291" s="17" t="s">
        <v>283</v>
      </c>
      <c r="O291" s="14" t="s">
        <v>74</v>
      </c>
      <c r="P291" s="14" t="s">
        <v>74</v>
      </c>
    </row>
    <row r="292" customFormat="false" ht="28.35" hidden="false" customHeight="false" outlineLevel="0" collapsed="false">
      <c r="A292" s="0" t="n">
        <v>128975066</v>
      </c>
      <c r="B292" s="0" t="n">
        <v>1</v>
      </c>
      <c r="C292" s="13" t="n">
        <v>46273</v>
      </c>
      <c r="D292" s="0" t="n">
        <v>2026</v>
      </c>
      <c r="E292" s="14" t="s">
        <v>55</v>
      </c>
      <c r="F292" s="14" t="s">
        <v>71</v>
      </c>
      <c r="G292" s="14" t="s">
        <v>72</v>
      </c>
      <c r="H292" s="14" t="s">
        <v>284</v>
      </c>
      <c r="I292" s="14" t="s">
        <v>20</v>
      </c>
      <c r="J292" s="14" t="s">
        <v>27</v>
      </c>
      <c r="K292" s="15" t="n">
        <v>1995.409</v>
      </c>
      <c r="L292" s="16" t="n">
        <v>6846986.58</v>
      </c>
      <c r="M292" s="0" t="n">
        <v>90302</v>
      </c>
      <c r="N292" s="17" t="s">
        <v>285</v>
      </c>
      <c r="O292" s="14" t="s">
        <v>74</v>
      </c>
      <c r="P292" s="14" t="s">
        <v>74</v>
      </c>
    </row>
    <row r="293" customFormat="false" ht="15" hidden="false" customHeight="false" outlineLevel="0" collapsed="false">
      <c r="A293" s="0" t="n">
        <v>129480233</v>
      </c>
      <c r="B293" s="0" t="n">
        <v>1</v>
      </c>
      <c r="C293" s="13" t="n">
        <v>46276</v>
      </c>
      <c r="D293" s="0" t="n">
        <v>2026</v>
      </c>
      <c r="E293" s="14" t="s">
        <v>55</v>
      </c>
      <c r="F293" s="14" t="s">
        <v>71</v>
      </c>
      <c r="G293" s="14" t="s">
        <v>72</v>
      </c>
      <c r="H293" s="14" t="s">
        <v>240</v>
      </c>
      <c r="I293" s="14" t="s">
        <v>20</v>
      </c>
      <c r="J293" s="14" t="s">
        <v>37</v>
      </c>
      <c r="K293" s="15" t="n">
        <v>886.33</v>
      </c>
      <c r="L293" s="16" t="n">
        <v>631613.63</v>
      </c>
      <c r="M293" s="0" t="n">
        <v>70106</v>
      </c>
      <c r="N293" s="14" t="s">
        <v>286</v>
      </c>
      <c r="O293" s="14" t="s">
        <v>74</v>
      </c>
      <c r="P293" s="14" t="s">
        <v>74</v>
      </c>
    </row>
    <row r="294" customFormat="false" ht="15" hidden="false" customHeight="false" outlineLevel="0" collapsed="false">
      <c r="A294" s="0" t="n">
        <v>130237718</v>
      </c>
      <c r="B294" s="0" t="n">
        <v>1</v>
      </c>
      <c r="C294" s="13" t="n">
        <v>46282</v>
      </c>
      <c r="D294" s="0" t="n">
        <v>2026</v>
      </c>
      <c r="E294" s="14" t="s">
        <v>55</v>
      </c>
      <c r="F294" s="14" t="s">
        <v>71</v>
      </c>
      <c r="G294" s="14" t="s">
        <v>72</v>
      </c>
      <c r="H294" s="14" t="s">
        <v>15</v>
      </c>
      <c r="I294" s="14" t="s">
        <v>20</v>
      </c>
      <c r="J294" s="14" t="s">
        <v>17</v>
      </c>
      <c r="K294" s="15" t="n">
        <v>10151.87</v>
      </c>
      <c r="L294" s="16" t="n">
        <v>35624973</v>
      </c>
      <c r="M294" s="0" t="n">
        <v>190111</v>
      </c>
      <c r="N294" s="14" t="s">
        <v>249</v>
      </c>
      <c r="O294" s="14" t="s">
        <v>74</v>
      </c>
      <c r="P294" s="14" t="s">
        <v>74</v>
      </c>
    </row>
    <row r="295" customFormat="false" ht="15" hidden="false" customHeight="false" outlineLevel="0" collapsed="false">
      <c r="A295" s="0" t="n">
        <v>130230038</v>
      </c>
      <c r="B295" s="0" t="n">
        <v>1</v>
      </c>
      <c r="C295" s="13" t="n">
        <v>46282</v>
      </c>
      <c r="D295" s="0" t="n">
        <v>2026</v>
      </c>
      <c r="E295" s="14" t="s">
        <v>55</v>
      </c>
      <c r="F295" s="14" t="s">
        <v>71</v>
      </c>
      <c r="G295" s="14" t="s">
        <v>72</v>
      </c>
      <c r="H295" s="14" t="s">
        <v>39</v>
      </c>
      <c r="I295" s="14" t="s">
        <v>20</v>
      </c>
      <c r="J295" s="14" t="s">
        <v>31</v>
      </c>
      <c r="K295" s="15" t="n">
        <v>756.088</v>
      </c>
      <c r="L295" s="16" t="n">
        <v>941574.52</v>
      </c>
      <c r="M295" s="0" t="n">
        <v>130105</v>
      </c>
      <c r="N295" s="14" t="s">
        <v>287</v>
      </c>
      <c r="O295" s="14" t="s">
        <v>74</v>
      </c>
      <c r="P295" s="14" t="s">
        <v>74</v>
      </c>
    </row>
    <row r="296" customFormat="false" ht="15" hidden="false" customHeight="false" outlineLevel="0" collapsed="false">
      <c r="A296" s="0" t="n">
        <v>130286842</v>
      </c>
      <c r="B296" s="0" t="n">
        <v>1</v>
      </c>
      <c r="C296" s="13" t="n">
        <v>46282</v>
      </c>
      <c r="D296" s="0" t="n">
        <v>2026</v>
      </c>
      <c r="E296" s="14" t="s">
        <v>55</v>
      </c>
      <c r="F296" s="14" t="s">
        <v>71</v>
      </c>
      <c r="G296" s="14" t="s">
        <v>72</v>
      </c>
      <c r="H296" s="14" t="s">
        <v>30</v>
      </c>
      <c r="I296" s="14" t="s">
        <v>20</v>
      </c>
      <c r="J296" s="14" t="s">
        <v>37</v>
      </c>
      <c r="K296" s="15" t="n">
        <v>264.9</v>
      </c>
      <c r="L296" s="16" t="n">
        <v>776482.83</v>
      </c>
      <c r="M296" s="0" t="n">
        <v>150202</v>
      </c>
      <c r="N296" s="14" t="s">
        <v>288</v>
      </c>
      <c r="O296" s="14" t="s">
        <v>74</v>
      </c>
      <c r="P296" s="14" t="s">
        <v>74</v>
      </c>
    </row>
    <row r="297" customFormat="false" ht="15" hidden="false" customHeight="false" outlineLevel="0" collapsed="false">
      <c r="A297" s="0" t="n">
        <v>131258683</v>
      </c>
      <c r="B297" s="0" t="n">
        <v>1</v>
      </c>
      <c r="C297" s="13" t="n">
        <v>46289</v>
      </c>
      <c r="D297" s="0" t="n">
        <v>2026</v>
      </c>
      <c r="E297" s="14" t="s">
        <v>55</v>
      </c>
      <c r="F297" s="14" t="s">
        <v>71</v>
      </c>
      <c r="G297" s="14" t="s">
        <v>72</v>
      </c>
      <c r="H297" s="14" t="s">
        <v>23</v>
      </c>
      <c r="I297" s="14" t="s">
        <v>20</v>
      </c>
      <c r="J297" s="14" t="s">
        <v>27</v>
      </c>
      <c r="K297" s="15" t="n">
        <v>920</v>
      </c>
      <c r="L297" s="16" t="n">
        <v>2804895</v>
      </c>
      <c r="M297" s="0" t="n">
        <v>110304</v>
      </c>
      <c r="N297" s="14" t="s">
        <v>289</v>
      </c>
      <c r="O297" s="14" t="s">
        <v>74</v>
      </c>
      <c r="P297" s="14" t="s">
        <v>74</v>
      </c>
    </row>
    <row r="298" customFormat="false" ht="15" hidden="false" customHeight="false" outlineLevel="0" collapsed="false">
      <c r="A298" s="0" t="n">
        <v>131335954</v>
      </c>
      <c r="B298" s="0" t="n">
        <v>1</v>
      </c>
      <c r="C298" s="13" t="n">
        <v>46290</v>
      </c>
      <c r="D298" s="0" t="n">
        <v>2026</v>
      </c>
      <c r="E298" s="14" t="s">
        <v>55</v>
      </c>
      <c r="F298" s="14" t="s">
        <v>71</v>
      </c>
      <c r="G298" s="14" t="s">
        <v>72</v>
      </c>
      <c r="H298" s="14" t="s">
        <v>36</v>
      </c>
      <c r="I298" s="14" t="s">
        <v>20</v>
      </c>
      <c r="J298" s="14" t="s">
        <v>27</v>
      </c>
      <c r="K298" s="15" t="n">
        <v>2005.241</v>
      </c>
      <c r="L298" s="16" t="n">
        <v>7562422</v>
      </c>
      <c r="M298" s="0" t="n">
        <v>21806</v>
      </c>
      <c r="N298" s="14" t="s">
        <v>290</v>
      </c>
      <c r="O298" s="14" t="s">
        <v>74</v>
      </c>
      <c r="P298" s="14" t="s">
        <v>74</v>
      </c>
    </row>
    <row r="299" customFormat="false" ht="15" hidden="false" customHeight="false" outlineLevel="0" collapsed="false">
      <c r="A299" s="0" t="n">
        <v>132215641</v>
      </c>
      <c r="B299" s="0" t="n">
        <v>1</v>
      </c>
      <c r="C299" s="13" t="n">
        <v>46296</v>
      </c>
      <c r="D299" s="0" t="n">
        <v>2026</v>
      </c>
      <c r="E299" s="14" t="s">
        <v>56</v>
      </c>
      <c r="F299" s="14" t="s">
        <v>71</v>
      </c>
      <c r="G299" s="14" t="s">
        <v>72</v>
      </c>
      <c r="H299" s="14" t="s">
        <v>23</v>
      </c>
      <c r="I299" s="14" t="s">
        <v>20</v>
      </c>
      <c r="J299" s="14" t="s">
        <v>27</v>
      </c>
      <c r="K299" s="15" t="n">
        <v>830</v>
      </c>
      <c r="L299" s="16" t="n">
        <v>3646370</v>
      </c>
      <c r="M299" s="0" t="n">
        <v>110304</v>
      </c>
      <c r="N299" s="14" t="s">
        <v>291</v>
      </c>
      <c r="O299" s="14" t="s">
        <v>74</v>
      </c>
      <c r="P299" s="14" t="s">
        <v>74</v>
      </c>
    </row>
    <row r="300" customFormat="false" ht="15" hidden="false" customHeight="false" outlineLevel="0" collapsed="false">
      <c r="A300" s="0" t="n">
        <v>132368582</v>
      </c>
      <c r="B300" s="0" t="n">
        <v>1</v>
      </c>
      <c r="C300" s="13" t="n">
        <v>46297</v>
      </c>
      <c r="D300" s="0" t="n">
        <v>2026</v>
      </c>
      <c r="E300" s="14" t="s">
        <v>56</v>
      </c>
      <c r="F300" s="14" t="s">
        <v>71</v>
      </c>
      <c r="G300" s="14" t="s">
        <v>72</v>
      </c>
      <c r="H300" s="14" t="s">
        <v>23</v>
      </c>
      <c r="I300" s="14" t="s">
        <v>20</v>
      </c>
      <c r="J300" s="14" t="s">
        <v>27</v>
      </c>
      <c r="K300" s="15" t="n">
        <v>530</v>
      </c>
      <c r="L300" s="16" t="n">
        <v>2470121</v>
      </c>
      <c r="M300" s="0" t="n">
        <v>110304</v>
      </c>
      <c r="N300" s="14" t="s">
        <v>291</v>
      </c>
      <c r="O300" s="14" t="s">
        <v>74</v>
      </c>
      <c r="P300" s="14" t="s">
        <v>74</v>
      </c>
    </row>
    <row r="301" customFormat="false" ht="15" hidden="false" customHeight="false" outlineLevel="0" collapsed="false">
      <c r="A301" s="0" t="n">
        <v>132402040</v>
      </c>
      <c r="B301" s="0" t="n">
        <v>1</v>
      </c>
      <c r="C301" s="13" t="n">
        <v>46298</v>
      </c>
      <c r="D301" s="0" t="n">
        <v>2026</v>
      </c>
      <c r="E301" s="14" t="s">
        <v>56</v>
      </c>
      <c r="F301" s="14" t="s">
        <v>71</v>
      </c>
      <c r="G301" s="14" t="s">
        <v>72</v>
      </c>
      <c r="H301" s="14" t="s">
        <v>30</v>
      </c>
      <c r="I301" s="14" t="s">
        <v>20</v>
      </c>
      <c r="J301" s="14" t="s">
        <v>27</v>
      </c>
      <c r="K301" s="15" t="n">
        <v>1599.188</v>
      </c>
      <c r="L301" s="16" t="n">
        <v>9500000</v>
      </c>
      <c r="M301" s="0" t="n">
        <v>150705</v>
      </c>
      <c r="N301" s="14" t="s">
        <v>292</v>
      </c>
      <c r="O301" s="14" t="s">
        <v>74</v>
      </c>
      <c r="P301" s="14" t="s">
        <v>74</v>
      </c>
    </row>
    <row r="302" customFormat="false" ht="15" hidden="false" customHeight="false" outlineLevel="0" collapsed="false">
      <c r="A302" s="0" t="n">
        <v>132671833</v>
      </c>
      <c r="B302" s="0" t="n">
        <v>1</v>
      </c>
      <c r="C302" s="13" t="n">
        <v>46300</v>
      </c>
      <c r="D302" s="0" t="n">
        <v>2026</v>
      </c>
      <c r="E302" s="14" t="s">
        <v>56</v>
      </c>
      <c r="F302" s="14" t="s">
        <v>71</v>
      </c>
      <c r="G302" s="14" t="s">
        <v>72</v>
      </c>
      <c r="H302" s="14" t="s">
        <v>15</v>
      </c>
      <c r="I302" s="14" t="s">
        <v>20</v>
      </c>
      <c r="J302" s="14" t="s">
        <v>17</v>
      </c>
      <c r="K302" s="15" t="n">
        <v>2712.75</v>
      </c>
      <c r="L302" s="16" t="n">
        <v>6195000</v>
      </c>
      <c r="M302" s="0" t="n">
        <v>190111</v>
      </c>
      <c r="N302" s="14" t="s">
        <v>249</v>
      </c>
      <c r="O302" s="14" t="s">
        <v>74</v>
      </c>
      <c r="P302" s="14" t="s">
        <v>74</v>
      </c>
    </row>
    <row r="303" customFormat="false" ht="15" hidden="false" customHeight="false" outlineLevel="0" collapsed="false">
      <c r="A303" s="0" t="n">
        <v>132951922</v>
      </c>
      <c r="B303" s="0" t="n">
        <v>1</v>
      </c>
      <c r="C303" s="13" t="n">
        <v>46302</v>
      </c>
      <c r="D303" s="0" t="n">
        <v>2026</v>
      </c>
      <c r="E303" s="14" t="s">
        <v>56</v>
      </c>
      <c r="F303" s="14" t="s">
        <v>71</v>
      </c>
      <c r="G303" s="14" t="s">
        <v>72</v>
      </c>
      <c r="H303" s="14" t="s">
        <v>19</v>
      </c>
      <c r="I303" s="14" t="s">
        <v>20</v>
      </c>
      <c r="J303" s="14" t="s">
        <v>27</v>
      </c>
      <c r="K303" s="15" t="n">
        <v>2999.7</v>
      </c>
      <c r="L303" s="16" t="n">
        <v>15688137</v>
      </c>
      <c r="M303" s="0" t="n">
        <v>120810</v>
      </c>
      <c r="N303" s="14" t="s">
        <v>293</v>
      </c>
      <c r="O303" s="14" t="s">
        <v>74</v>
      </c>
      <c r="P303" s="14" t="s">
        <v>74</v>
      </c>
    </row>
    <row r="304" customFormat="false" ht="15" hidden="false" customHeight="false" outlineLevel="0" collapsed="false">
      <c r="A304" s="0" t="n">
        <v>132960496</v>
      </c>
      <c r="B304" s="0" t="n">
        <v>1</v>
      </c>
      <c r="C304" s="13" t="n">
        <v>46302</v>
      </c>
      <c r="D304" s="0" t="n">
        <v>2026</v>
      </c>
      <c r="E304" s="14" t="s">
        <v>56</v>
      </c>
      <c r="F304" s="14" t="s">
        <v>106</v>
      </c>
      <c r="G304" s="14" t="s">
        <v>107</v>
      </c>
      <c r="H304" s="14" t="s">
        <v>39</v>
      </c>
      <c r="I304" s="14" t="s">
        <v>16</v>
      </c>
      <c r="J304" s="14" t="s">
        <v>137</v>
      </c>
      <c r="K304" s="15" t="n">
        <v>82</v>
      </c>
      <c r="L304" s="16" t="n">
        <v>131000</v>
      </c>
      <c r="M304" s="0" t="n">
        <v>130105</v>
      </c>
      <c r="N304" s="14" t="s">
        <v>294</v>
      </c>
      <c r="O304" s="14" t="s">
        <v>74</v>
      </c>
      <c r="P304" s="14" t="s">
        <v>74</v>
      </c>
    </row>
    <row r="305" customFormat="false" ht="15" hidden="false" customHeight="false" outlineLevel="0" collapsed="false">
      <c r="A305" s="0" t="n">
        <v>132989584</v>
      </c>
      <c r="B305" s="0" t="n">
        <v>1</v>
      </c>
      <c r="C305" s="13" t="n">
        <v>46302</v>
      </c>
      <c r="D305" s="0" t="n">
        <v>2026</v>
      </c>
      <c r="E305" s="14" t="s">
        <v>56</v>
      </c>
      <c r="F305" s="14" t="s">
        <v>71</v>
      </c>
      <c r="G305" s="14" t="s">
        <v>72</v>
      </c>
      <c r="H305" s="14" t="s">
        <v>15</v>
      </c>
      <c r="I305" s="14" t="s">
        <v>20</v>
      </c>
      <c r="J305" s="14" t="s">
        <v>17</v>
      </c>
      <c r="K305" s="15" t="n">
        <v>10932.813</v>
      </c>
      <c r="L305" s="16" t="n">
        <v>25200000</v>
      </c>
      <c r="M305" s="0" t="n">
        <v>190111</v>
      </c>
      <c r="N305" s="14" t="s">
        <v>79</v>
      </c>
      <c r="O305" s="14" t="s">
        <v>74</v>
      </c>
      <c r="P305" s="14" t="s">
        <v>74</v>
      </c>
    </row>
    <row r="306" customFormat="false" ht="15" hidden="false" customHeight="false" outlineLevel="0" collapsed="false">
      <c r="A306" s="0" t="n">
        <v>133155240</v>
      </c>
      <c r="B306" s="0" t="n">
        <v>1</v>
      </c>
      <c r="C306" s="13" t="n">
        <v>46304</v>
      </c>
      <c r="D306" s="0" t="n">
        <v>2026</v>
      </c>
      <c r="E306" s="14" t="s">
        <v>56</v>
      </c>
      <c r="F306" s="14" t="s">
        <v>71</v>
      </c>
      <c r="G306" s="14" t="s">
        <v>72</v>
      </c>
      <c r="H306" s="14" t="s">
        <v>30</v>
      </c>
      <c r="I306" s="14" t="s">
        <v>20</v>
      </c>
      <c r="J306" s="14" t="s">
        <v>37</v>
      </c>
      <c r="K306" s="15" t="n">
        <v>820.94</v>
      </c>
      <c r="L306" s="16" t="n">
        <v>552987.88</v>
      </c>
      <c r="M306" s="0" t="n">
        <v>150202</v>
      </c>
      <c r="N306" s="14" t="s">
        <v>295</v>
      </c>
      <c r="O306" s="14" t="s">
        <v>74</v>
      </c>
      <c r="P306" s="14" t="s">
        <v>74</v>
      </c>
    </row>
    <row r="307" customFormat="false" ht="15" hidden="false" customHeight="false" outlineLevel="0" collapsed="false">
      <c r="A307" s="0" t="n">
        <v>132980977</v>
      </c>
      <c r="B307" s="0" t="n">
        <v>1</v>
      </c>
      <c r="C307" s="13" t="n">
        <v>46302</v>
      </c>
      <c r="D307" s="0" t="n">
        <v>2026</v>
      </c>
      <c r="E307" s="14" t="s">
        <v>56</v>
      </c>
      <c r="F307" s="14" t="s">
        <v>71</v>
      </c>
      <c r="G307" s="14" t="s">
        <v>72</v>
      </c>
      <c r="H307" s="14" t="s">
        <v>15</v>
      </c>
      <c r="I307" s="14" t="s">
        <v>20</v>
      </c>
      <c r="J307" s="14" t="s">
        <v>17</v>
      </c>
      <c r="K307" s="15" t="n">
        <v>2207.3</v>
      </c>
      <c r="L307" s="16" t="n">
        <v>6195000</v>
      </c>
      <c r="M307" s="0" t="n">
        <v>190111</v>
      </c>
      <c r="N307" s="14" t="s">
        <v>249</v>
      </c>
      <c r="O307" s="14" t="s">
        <v>74</v>
      </c>
      <c r="P307" s="14" t="s">
        <v>74</v>
      </c>
    </row>
    <row r="308" customFormat="false" ht="15" hidden="false" customHeight="false" outlineLevel="0" collapsed="false">
      <c r="A308" s="0" t="n">
        <v>133002058</v>
      </c>
      <c r="B308" s="0" t="n">
        <v>1</v>
      </c>
      <c r="C308" s="13" t="n">
        <v>46303</v>
      </c>
      <c r="D308" s="0" t="n">
        <v>2026</v>
      </c>
      <c r="E308" s="14" t="s">
        <v>56</v>
      </c>
      <c r="F308" s="14" t="s">
        <v>71</v>
      </c>
      <c r="G308" s="14" t="s">
        <v>72</v>
      </c>
      <c r="H308" s="14" t="s">
        <v>15</v>
      </c>
      <c r="I308" s="14" t="s">
        <v>20</v>
      </c>
      <c r="J308" s="14" t="s">
        <v>17</v>
      </c>
      <c r="K308" s="15" t="n">
        <v>2207.3</v>
      </c>
      <c r="L308" s="16" t="n">
        <v>6195000</v>
      </c>
      <c r="M308" s="0" t="n">
        <v>190111</v>
      </c>
      <c r="N308" s="14" t="s">
        <v>249</v>
      </c>
      <c r="O308" s="14" t="s">
        <v>74</v>
      </c>
      <c r="P308" s="14" t="s">
        <v>74</v>
      </c>
    </row>
    <row r="309" customFormat="false" ht="15" hidden="false" customHeight="false" outlineLevel="0" collapsed="false">
      <c r="A309" s="0" t="n">
        <v>133222830</v>
      </c>
      <c r="B309" s="0" t="n">
        <v>1</v>
      </c>
      <c r="C309" s="13" t="n">
        <v>46304</v>
      </c>
      <c r="D309" s="0" t="n">
        <v>2026</v>
      </c>
      <c r="E309" s="14" t="s">
        <v>56</v>
      </c>
      <c r="F309" s="14" t="s">
        <v>71</v>
      </c>
      <c r="G309" s="14" t="s">
        <v>72</v>
      </c>
      <c r="H309" s="14" t="s">
        <v>15</v>
      </c>
      <c r="I309" s="14" t="s">
        <v>20</v>
      </c>
      <c r="J309" s="14" t="s">
        <v>17</v>
      </c>
      <c r="K309" s="15" t="n">
        <v>11160</v>
      </c>
      <c r="L309" s="16" t="n">
        <v>24780000</v>
      </c>
      <c r="M309" s="0" t="n">
        <v>190111</v>
      </c>
      <c r="N309" s="14" t="s">
        <v>249</v>
      </c>
      <c r="O309" s="14" t="s">
        <v>74</v>
      </c>
      <c r="P309" s="14" t="s">
        <v>74</v>
      </c>
    </row>
    <row r="310" customFormat="false" ht="15" hidden="false" customHeight="false" outlineLevel="0" collapsed="false">
      <c r="A310" s="0" t="n">
        <v>133377269</v>
      </c>
      <c r="B310" s="0" t="n">
        <v>1</v>
      </c>
      <c r="C310" s="13" t="n">
        <v>46306</v>
      </c>
      <c r="D310" s="0" t="n">
        <v>2026</v>
      </c>
      <c r="E310" s="14" t="s">
        <v>56</v>
      </c>
      <c r="F310" s="14" t="s">
        <v>71</v>
      </c>
      <c r="G310" s="14" t="s">
        <v>72</v>
      </c>
      <c r="H310" s="14" t="s">
        <v>15</v>
      </c>
      <c r="I310" s="14" t="s">
        <v>20</v>
      </c>
      <c r="J310" s="14" t="s">
        <v>27</v>
      </c>
      <c r="K310" s="15" t="n">
        <v>1011.014</v>
      </c>
      <c r="L310" s="16" t="n">
        <v>5016000</v>
      </c>
      <c r="M310" s="0" t="n">
        <v>190108</v>
      </c>
      <c r="N310" s="14" t="s">
        <v>296</v>
      </c>
      <c r="O310" s="14" t="s">
        <v>74</v>
      </c>
      <c r="P310" s="14" t="s">
        <v>74</v>
      </c>
    </row>
    <row r="311" customFormat="false" ht="15" hidden="false" customHeight="false" outlineLevel="0" collapsed="false">
      <c r="A311" s="0" t="n">
        <v>133602089</v>
      </c>
      <c r="B311" s="0" t="n">
        <v>1</v>
      </c>
      <c r="C311" s="13" t="n">
        <v>46307</v>
      </c>
      <c r="D311" s="0" t="n">
        <v>2026</v>
      </c>
      <c r="E311" s="14" t="s">
        <v>56</v>
      </c>
      <c r="F311" s="14" t="s">
        <v>71</v>
      </c>
      <c r="G311" s="14" t="s">
        <v>72</v>
      </c>
      <c r="H311" s="14" t="s">
        <v>23</v>
      </c>
      <c r="I311" s="14" t="s">
        <v>20</v>
      </c>
      <c r="J311" s="14" t="s">
        <v>27</v>
      </c>
      <c r="K311" s="15" t="n">
        <v>450</v>
      </c>
      <c r="L311" s="16" t="n">
        <v>2117247</v>
      </c>
      <c r="M311" s="0" t="n">
        <v>110304</v>
      </c>
      <c r="N311" s="14" t="s">
        <v>291</v>
      </c>
      <c r="O311" s="14" t="s">
        <v>74</v>
      </c>
      <c r="P311" s="14" t="s">
        <v>74</v>
      </c>
    </row>
    <row r="312" customFormat="false" ht="15" hidden="false" customHeight="false" outlineLevel="0" collapsed="false">
      <c r="A312" s="0" t="n">
        <v>104613056</v>
      </c>
      <c r="B312" s="0" t="n">
        <v>1</v>
      </c>
      <c r="C312" s="13" t="n">
        <v>46092</v>
      </c>
      <c r="D312" s="0" t="n">
        <v>2026</v>
      </c>
      <c r="E312" s="14" t="s">
        <v>49</v>
      </c>
      <c r="F312" s="14" t="s">
        <v>71</v>
      </c>
      <c r="G312" s="14" t="s">
        <v>72</v>
      </c>
      <c r="H312" s="14" t="s">
        <v>19</v>
      </c>
      <c r="I312" s="14" t="s">
        <v>20</v>
      </c>
      <c r="J312" s="14" t="s">
        <v>17</v>
      </c>
      <c r="K312" s="15" t="n">
        <v>11647.5</v>
      </c>
      <c r="L312" s="16" t="n">
        <v>45603029.71</v>
      </c>
      <c r="M312" s="0" t="n">
        <v>120805</v>
      </c>
      <c r="N312" s="14" t="s">
        <v>79</v>
      </c>
      <c r="O312" s="14" t="s">
        <v>74</v>
      </c>
      <c r="P312" s="14" t="s">
        <v>74</v>
      </c>
    </row>
    <row r="313" customFormat="false" ht="15" hidden="false" customHeight="false" outlineLevel="0" collapsed="false">
      <c r="A313" s="0" t="n">
        <v>104661597</v>
      </c>
      <c r="B313" s="0" t="n">
        <v>1</v>
      </c>
      <c r="C313" s="13" t="n">
        <v>46092</v>
      </c>
      <c r="D313" s="0" t="n">
        <v>2026</v>
      </c>
      <c r="E313" s="14" t="s">
        <v>49</v>
      </c>
      <c r="F313" s="14" t="s">
        <v>71</v>
      </c>
      <c r="G313" s="14" t="s">
        <v>72</v>
      </c>
      <c r="H313" s="14" t="s">
        <v>30</v>
      </c>
      <c r="I313" s="14" t="s">
        <v>20</v>
      </c>
      <c r="J313" s="14" t="s">
        <v>27</v>
      </c>
      <c r="K313" s="15" t="n">
        <v>898.542</v>
      </c>
      <c r="L313" s="16" t="n">
        <v>695875.85</v>
      </c>
      <c r="M313" s="0" t="n">
        <v>150202</v>
      </c>
      <c r="N313" s="14" t="s">
        <v>297</v>
      </c>
      <c r="O313" s="14" t="s">
        <v>74</v>
      </c>
      <c r="P313" s="14" t="s">
        <v>74</v>
      </c>
    </row>
    <row r="314" customFormat="false" ht="15" hidden="false" customHeight="false" outlineLevel="0" collapsed="false">
      <c r="A314" s="0" t="n">
        <v>105244506</v>
      </c>
      <c r="B314" s="0" t="n">
        <v>1</v>
      </c>
      <c r="C314" s="13" t="n">
        <v>46097</v>
      </c>
      <c r="D314" s="0" t="n">
        <v>2026</v>
      </c>
      <c r="E314" s="14" t="s">
        <v>49</v>
      </c>
      <c r="F314" s="14" t="s">
        <v>71</v>
      </c>
      <c r="G314" s="14" t="s">
        <v>72</v>
      </c>
      <c r="H314" s="14" t="s">
        <v>19</v>
      </c>
      <c r="I314" s="14" t="s">
        <v>20</v>
      </c>
      <c r="J314" s="14" t="s">
        <v>17</v>
      </c>
      <c r="K314" s="15" t="n">
        <v>9654.09</v>
      </c>
      <c r="L314" s="16" t="n">
        <v>38899706.43</v>
      </c>
      <c r="M314" s="0" t="n">
        <v>120805</v>
      </c>
      <c r="N314" s="14" t="s">
        <v>79</v>
      </c>
      <c r="O314" s="14" t="s">
        <v>74</v>
      </c>
      <c r="P314" s="14" t="s">
        <v>74</v>
      </c>
    </row>
    <row r="315" customFormat="false" ht="15" hidden="false" customHeight="false" outlineLevel="0" collapsed="false">
      <c r="A315" s="0" t="n">
        <v>106722406</v>
      </c>
      <c r="B315" s="0" t="n">
        <v>1</v>
      </c>
      <c r="C315" s="13" t="n">
        <v>46108</v>
      </c>
      <c r="D315" s="0" t="n">
        <v>2026</v>
      </c>
      <c r="E315" s="14" t="s">
        <v>49</v>
      </c>
      <c r="F315" s="14" t="s">
        <v>71</v>
      </c>
      <c r="G315" s="14" t="s">
        <v>72</v>
      </c>
      <c r="H315" s="14" t="s">
        <v>30</v>
      </c>
      <c r="I315" s="14" t="s">
        <v>20</v>
      </c>
      <c r="J315" s="14" t="s">
        <v>27</v>
      </c>
      <c r="K315" s="15" t="n">
        <v>803.465</v>
      </c>
      <c r="L315" s="16" t="n">
        <v>593736.4</v>
      </c>
      <c r="M315" s="0" t="n">
        <v>150202</v>
      </c>
      <c r="N315" s="14" t="s">
        <v>298</v>
      </c>
      <c r="O315" s="14" t="s">
        <v>74</v>
      </c>
      <c r="P315" s="14" t="s">
        <v>74</v>
      </c>
    </row>
    <row r="316" customFormat="false" ht="15" hidden="false" customHeight="false" outlineLevel="0" collapsed="false">
      <c r="A316" s="0" t="n">
        <v>108179285</v>
      </c>
      <c r="B316" s="0" t="n">
        <v>1</v>
      </c>
      <c r="C316" s="13" t="n">
        <v>46120</v>
      </c>
      <c r="D316" s="0" t="n">
        <v>2026</v>
      </c>
      <c r="E316" s="14" t="s">
        <v>50</v>
      </c>
      <c r="F316" s="14" t="s">
        <v>71</v>
      </c>
      <c r="G316" s="14" t="s">
        <v>72</v>
      </c>
      <c r="H316" s="14" t="s">
        <v>30</v>
      </c>
      <c r="I316" s="14" t="s">
        <v>20</v>
      </c>
      <c r="J316" s="14" t="s">
        <v>27</v>
      </c>
      <c r="K316" s="15" t="n">
        <v>908.697</v>
      </c>
      <c r="L316" s="16" t="n">
        <v>721827.22</v>
      </c>
      <c r="M316" s="0" t="n">
        <v>150202</v>
      </c>
      <c r="N316" s="14" t="s">
        <v>299</v>
      </c>
      <c r="O316" s="14" t="s">
        <v>74</v>
      </c>
      <c r="P316" s="14" t="s">
        <v>74</v>
      </c>
    </row>
    <row r="317" customFormat="false" ht="15" hidden="false" customHeight="false" outlineLevel="0" collapsed="false">
      <c r="A317" s="0" t="n">
        <v>109029545</v>
      </c>
      <c r="B317" s="0" t="n">
        <v>1</v>
      </c>
      <c r="C317" s="13" t="n">
        <v>46126</v>
      </c>
      <c r="D317" s="0" t="n">
        <v>2026</v>
      </c>
      <c r="E317" s="14" t="s">
        <v>50</v>
      </c>
      <c r="F317" s="14" t="s">
        <v>71</v>
      </c>
      <c r="G317" s="14" t="s">
        <v>72</v>
      </c>
      <c r="H317" s="14" t="s">
        <v>15</v>
      </c>
      <c r="I317" s="14" t="s">
        <v>20</v>
      </c>
      <c r="J317" s="14" t="s">
        <v>21</v>
      </c>
      <c r="K317" s="15" t="n">
        <v>11552.53</v>
      </c>
      <c r="L317" s="16" t="n">
        <v>57277284.94</v>
      </c>
      <c r="M317" s="0" t="n">
        <v>190111</v>
      </c>
      <c r="N317" s="14" t="s">
        <v>300</v>
      </c>
      <c r="O317" s="14" t="s">
        <v>74</v>
      </c>
      <c r="P317" s="14" t="s">
        <v>74</v>
      </c>
    </row>
    <row r="318" customFormat="false" ht="15" hidden="false" customHeight="false" outlineLevel="0" collapsed="false">
      <c r="A318" s="0" t="n">
        <v>110893403</v>
      </c>
      <c r="B318" s="0" t="n">
        <v>1</v>
      </c>
      <c r="C318" s="13" t="n">
        <v>46140</v>
      </c>
      <c r="D318" s="0" t="n">
        <v>2026</v>
      </c>
      <c r="E318" s="14" t="s">
        <v>50</v>
      </c>
      <c r="F318" s="14" t="s">
        <v>71</v>
      </c>
      <c r="G318" s="14" t="s">
        <v>72</v>
      </c>
      <c r="H318" s="14" t="s">
        <v>15</v>
      </c>
      <c r="I318" s="14" t="s">
        <v>20</v>
      </c>
      <c r="J318" s="14" t="s">
        <v>17</v>
      </c>
      <c r="K318" s="15" t="n">
        <v>10862.963</v>
      </c>
      <c r="L318" s="16" t="n">
        <v>53327913.25</v>
      </c>
      <c r="M318" s="0" t="n">
        <v>190111</v>
      </c>
      <c r="N318" s="14" t="s">
        <v>79</v>
      </c>
      <c r="O318" s="14" t="s">
        <v>74</v>
      </c>
      <c r="P318" s="14" t="s">
        <v>74</v>
      </c>
    </row>
    <row r="319" customFormat="false" ht="15" hidden="false" customHeight="false" outlineLevel="0" collapsed="false">
      <c r="A319" s="0" t="n">
        <v>112469733</v>
      </c>
      <c r="B319" s="0" t="n">
        <v>1</v>
      </c>
      <c r="C319" s="13" t="n">
        <v>46153</v>
      </c>
      <c r="D319" s="0" t="n">
        <v>2026</v>
      </c>
      <c r="E319" s="14" t="s">
        <v>51</v>
      </c>
      <c r="F319" s="14" t="s">
        <v>71</v>
      </c>
      <c r="G319" s="14" t="s">
        <v>72</v>
      </c>
      <c r="H319" s="14" t="s">
        <v>15</v>
      </c>
      <c r="I319" s="14" t="s">
        <v>20</v>
      </c>
      <c r="J319" s="14" t="s">
        <v>17</v>
      </c>
      <c r="K319" s="15" t="n">
        <v>9072.427</v>
      </c>
      <c r="L319" s="16" t="n">
        <v>37497236.26</v>
      </c>
      <c r="M319" s="0" t="n">
        <v>190111</v>
      </c>
      <c r="N319" s="14" t="s">
        <v>102</v>
      </c>
      <c r="O319" s="14" t="s">
        <v>74</v>
      </c>
      <c r="P319" s="14" t="s">
        <v>74</v>
      </c>
    </row>
    <row r="320" customFormat="false" ht="15" hidden="false" customHeight="false" outlineLevel="0" collapsed="false">
      <c r="A320" s="0" t="n">
        <v>113836417</v>
      </c>
      <c r="B320" s="0" t="n">
        <v>1</v>
      </c>
      <c r="C320" s="13" t="n">
        <v>46162</v>
      </c>
      <c r="D320" s="0" t="n">
        <v>2026</v>
      </c>
      <c r="E320" s="14" t="s">
        <v>51</v>
      </c>
      <c r="F320" s="14" t="s">
        <v>106</v>
      </c>
      <c r="G320" s="14" t="s">
        <v>107</v>
      </c>
      <c r="H320" s="14" t="s">
        <v>30</v>
      </c>
      <c r="I320" s="14" t="s">
        <v>16</v>
      </c>
      <c r="J320" s="14" t="s">
        <v>301</v>
      </c>
      <c r="K320" s="15" t="n">
        <v>88.33</v>
      </c>
      <c r="L320" s="16" t="n">
        <v>106349.32</v>
      </c>
      <c r="M320" s="0" t="n">
        <v>150140</v>
      </c>
      <c r="N320" s="14" t="s">
        <v>302</v>
      </c>
      <c r="O320" s="14" t="s">
        <v>74</v>
      </c>
      <c r="P320" s="14" t="s">
        <v>74</v>
      </c>
    </row>
    <row r="321" customFormat="false" ht="15" hidden="false" customHeight="false" outlineLevel="0" collapsed="false">
      <c r="A321" s="0" t="n">
        <v>114083913</v>
      </c>
      <c r="B321" s="0" t="n">
        <v>1</v>
      </c>
      <c r="C321" s="13" t="n">
        <v>46164</v>
      </c>
      <c r="D321" s="0" t="n">
        <v>2026</v>
      </c>
      <c r="E321" s="14" t="s">
        <v>51</v>
      </c>
      <c r="F321" s="14" t="s">
        <v>71</v>
      </c>
      <c r="G321" s="14" t="s">
        <v>72</v>
      </c>
      <c r="H321" s="14" t="s">
        <v>15</v>
      </c>
      <c r="I321" s="14" t="s">
        <v>20</v>
      </c>
      <c r="J321" s="14" t="s">
        <v>17</v>
      </c>
      <c r="K321" s="15" t="n">
        <v>9625.352</v>
      </c>
      <c r="L321" s="16" t="n">
        <v>40776090.27</v>
      </c>
      <c r="M321" s="0" t="n">
        <v>190112</v>
      </c>
      <c r="N321" s="14" t="s">
        <v>79</v>
      </c>
      <c r="O321" s="14" t="s">
        <v>74</v>
      </c>
      <c r="P321" s="14" t="s">
        <v>74</v>
      </c>
    </row>
    <row r="322" customFormat="false" ht="15" hidden="false" customHeight="false" outlineLevel="0" collapsed="false">
      <c r="A322" s="0" t="n">
        <v>115347689</v>
      </c>
      <c r="B322" s="0" t="n">
        <v>1</v>
      </c>
      <c r="C322" s="13" t="n">
        <v>46174</v>
      </c>
      <c r="D322" s="0" t="n">
        <v>2026</v>
      </c>
      <c r="E322" s="14" t="s">
        <v>52</v>
      </c>
      <c r="F322" s="14" t="s">
        <v>71</v>
      </c>
      <c r="G322" s="14" t="s">
        <v>72</v>
      </c>
      <c r="H322" s="14" t="s">
        <v>39</v>
      </c>
      <c r="I322" s="14" t="s">
        <v>20</v>
      </c>
      <c r="J322" s="14" t="s">
        <v>31</v>
      </c>
      <c r="K322" s="15" t="n">
        <v>1345.977</v>
      </c>
      <c r="L322" s="16" t="n">
        <v>2274302.28</v>
      </c>
      <c r="M322" s="0" t="n">
        <v>130105</v>
      </c>
      <c r="N322" s="14" t="s">
        <v>303</v>
      </c>
      <c r="O322" s="14" t="s">
        <v>74</v>
      </c>
      <c r="P322" s="14" t="s">
        <v>74</v>
      </c>
    </row>
    <row r="323" customFormat="false" ht="15" hidden="false" customHeight="false" outlineLevel="0" collapsed="false">
      <c r="A323" s="0" t="n">
        <v>118160084</v>
      </c>
      <c r="B323" s="0" t="n">
        <v>1</v>
      </c>
      <c r="C323" s="13" t="n">
        <v>46195</v>
      </c>
      <c r="D323" s="0" t="n">
        <v>2026</v>
      </c>
      <c r="E323" s="14" t="s">
        <v>52</v>
      </c>
      <c r="F323" s="14" t="s">
        <v>71</v>
      </c>
      <c r="G323" s="14" t="s">
        <v>72</v>
      </c>
      <c r="H323" s="14" t="s">
        <v>15</v>
      </c>
      <c r="I323" s="14" t="s">
        <v>20</v>
      </c>
      <c r="J323" s="14" t="s">
        <v>21</v>
      </c>
      <c r="K323" s="15" t="n">
        <v>11451.74</v>
      </c>
      <c r="L323" s="16" t="n">
        <v>50845934.29</v>
      </c>
      <c r="M323" s="0" t="n">
        <v>190111</v>
      </c>
      <c r="N323" s="14" t="s">
        <v>304</v>
      </c>
      <c r="O323" s="14" t="s">
        <v>74</v>
      </c>
      <c r="P323" s="14" t="s">
        <v>74</v>
      </c>
    </row>
    <row r="324" customFormat="false" ht="28.35" hidden="false" customHeight="false" outlineLevel="0" collapsed="false">
      <c r="A324" s="0" t="n">
        <v>119780899</v>
      </c>
      <c r="B324" s="0" t="n">
        <v>1</v>
      </c>
      <c r="C324" s="13" t="n">
        <v>46207</v>
      </c>
      <c r="D324" s="0" t="n">
        <v>2026</v>
      </c>
      <c r="E324" s="14" t="s">
        <v>53</v>
      </c>
      <c r="F324" s="14" t="s">
        <v>71</v>
      </c>
      <c r="G324" s="14" t="s">
        <v>72</v>
      </c>
      <c r="H324" s="14" t="s">
        <v>23</v>
      </c>
      <c r="I324" s="14" t="s">
        <v>20</v>
      </c>
      <c r="J324" s="14" t="s">
        <v>27</v>
      </c>
      <c r="K324" s="15" t="n">
        <v>2571.5</v>
      </c>
      <c r="L324" s="16" t="n">
        <v>12349140.16</v>
      </c>
      <c r="M324" s="0" t="n">
        <v>110305</v>
      </c>
      <c r="N324" s="17" t="s">
        <v>305</v>
      </c>
      <c r="O324" s="14" t="s">
        <v>74</v>
      </c>
      <c r="P324" s="14" t="s">
        <v>74</v>
      </c>
    </row>
    <row r="325" customFormat="false" ht="15" hidden="false" customHeight="false" outlineLevel="0" collapsed="false">
      <c r="A325" s="0" t="n">
        <v>120130730</v>
      </c>
      <c r="B325" s="0" t="n">
        <v>1</v>
      </c>
      <c r="C325" s="13" t="n">
        <v>46210</v>
      </c>
      <c r="D325" s="0" t="n">
        <v>2026</v>
      </c>
      <c r="E325" s="14" t="s">
        <v>53</v>
      </c>
      <c r="F325" s="14" t="s">
        <v>71</v>
      </c>
      <c r="G325" s="14" t="s">
        <v>72</v>
      </c>
      <c r="H325" s="14" t="s">
        <v>19</v>
      </c>
      <c r="I325" s="14" t="s">
        <v>20</v>
      </c>
      <c r="J325" s="14" t="s">
        <v>17</v>
      </c>
      <c r="K325" s="15" t="n">
        <v>10909.038</v>
      </c>
      <c r="L325" s="16" t="n">
        <v>53073540.66</v>
      </c>
      <c r="M325" s="0" t="n">
        <v>120805</v>
      </c>
      <c r="N325" s="14" t="s">
        <v>79</v>
      </c>
      <c r="O325" s="14" t="s">
        <v>74</v>
      </c>
      <c r="P325" s="14" t="s">
        <v>74</v>
      </c>
    </row>
    <row r="326" customFormat="false" ht="15" hidden="false" customHeight="false" outlineLevel="0" collapsed="false">
      <c r="A326" s="0" t="n">
        <v>120382266</v>
      </c>
      <c r="B326" s="0" t="n">
        <v>1</v>
      </c>
      <c r="C326" s="13" t="n">
        <v>46211</v>
      </c>
      <c r="D326" s="0" t="n">
        <v>2026</v>
      </c>
      <c r="E326" s="14" t="s">
        <v>53</v>
      </c>
      <c r="F326" s="14" t="s">
        <v>71</v>
      </c>
      <c r="G326" s="14" t="s">
        <v>72</v>
      </c>
      <c r="H326" s="14" t="s">
        <v>15</v>
      </c>
      <c r="I326" s="14" t="s">
        <v>20</v>
      </c>
      <c r="J326" s="14" t="s">
        <v>17</v>
      </c>
      <c r="K326" s="15" t="n">
        <v>11017.843</v>
      </c>
      <c r="L326" s="16" t="n">
        <v>57701110.43</v>
      </c>
      <c r="M326" s="0" t="n">
        <v>190111</v>
      </c>
      <c r="N326" s="14" t="s">
        <v>79</v>
      </c>
      <c r="O326" s="14" t="s">
        <v>74</v>
      </c>
      <c r="P326" s="14" t="s">
        <v>74</v>
      </c>
    </row>
    <row r="327" customFormat="false" ht="15" hidden="false" customHeight="false" outlineLevel="0" collapsed="false">
      <c r="A327" s="0" t="n">
        <v>120388550</v>
      </c>
      <c r="B327" s="0" t="n">
        <v>1</v>
      </c>
      <c r="C327" s="13" t="n">
        <v>46211</v>
      </c>
      <c r="D327" s="0" t="n">
        <v>2026</v>
      </c>
      <c r="E327" s="14" t="s">
        <v>53</v>
      </c>
      <c r="F327" s="14" t="s">
        <v>71</v>
      </c>
      <c r="G327" s="14" t="s">
        <v>72</v>
      </c>
      <c r="H327" s="14" t="s">
        <v>23</v>
      </c>
      <c r="I327" s="14" t="s">
        <v>20</v>
      </c>
      <c r="J327" s="14" t="s">
        <v>31</v>
      </c>
      <c r="K327" s="15" t="n">
        <v>52.321</v>
      </c>
      <c r="L327" s="16" t="n">
        <v>378402.81</v>
      </c>
      <c r="M327" s="0" t="n">
        <v>110301</v>
      </c>
      <c r="N327" s="14" t="s">
        <v>306</v>
      </c>
      <c r="O327" s="14" t="s">
        <v>74</v>
      </c>
      <c r="P327" s="14" t="s">
        <v>74</v>
      </c>
    </row>
    <row r="328" customFormat="false" ht="15" hidden="false" customHeight="false" outlineLevel="0" collapsed="false">
      <c r="A328" s="0" t="n">
        <v>120548753</v>
      </c>
      <c r="B328" s="0" t="n">
        <v>1</v>
      </c>
      <c r="C328" s="13" t="n">
        <v>46212</v>
      </c>
      <c r="D328" s="0" t="n">
        <v>2026</v>
      </c>
      <c r="E328" s="14" t="s">
        <v>53</v>
      </c>
      <c r="F328" s="14" t="s">
        <v>71</v>
      </c>
      <c r="G328" s="14" t="s">
        <v>72</v>
      </c>
      <c r="H328" s="14" t="s">
        <v>15</v>
      </c>
      <c r="I328" s="14" t="s">
        <v>20</v>
      </c>
      <c r="J328" s="14" t="s">
        <v>17</v>
      </c>
      <c r="K328" s="15" t="n">
        <v>9164.308</v>
      </c>
      <c r="L328" s="16" t="n">
        <v>46198575.21</v>
      </c>
      <c r="M328" s="0" t="n">
        <v>190111</v>
      </c>
      <c r="N328" s="14" t="s">
        <v>79</v>
      </c>
      <c r="O328" s="14" t="s">
        <v>74</v>
      </c>
      <c r="P328" s="14" t="s">
        <v>74</v>
      </c>
    </row>
    <row r="329" customFormat="false" ht="15" hidden="false" customHeight="false" outlineLevel="0" collapsed="false">
      <c r="A329" s="0" t="n">
        <v>121435451</v>
      </c>
      <c r="B329" s="0" t="n">
        <v>1</v>
      </c>
      <c r="C329" s="13" t="n">
        <v>46220</v>
      </c>
      <c r="D329" s="0" t="n">
        <v>2026</v>
      </c>
      <c r="E329" s="14" t="s">
        <v>53</v>
      </c>
      <c r="F329" s="14" t="s">
        <v>71</v>
      </c>
      <c r="G329" s="14" t="s">
        <v>72</v>
      </c>
      <c r="H329" s="14" t="s">
        <v>15</v>
      </c>
      <c r="I329" s="14" t="s">
        <v>20</v>
      </c>
      <c r="J329" s="14" t="s">
        <v>21</v>
      </c>
      <c r="K329" s="15" t="n">
        <v>11689.19</v>
      </c>
      <c r="L329" s="16" t="n">
        <v>56453798.87</v>
      </c>
      <c r="M329" s="0" t="n">
        <v>190111</v>
      </c>
      <c r="N329" s="14" t="s">
        <v>307</v>
      </c>
      <c r="O329" s="14" t="s">
        <v>74</v>
      </c>
      <c r="P329" s="14" t="s">
        <v>74</v>
      </c>
    </row>
    <row r="330" customFormat="false" ht="15" hidden="false" customHeight="false" outlineLevel="0" collapsed="false">
      <c r="A330" s="0" t="n">
        <v>121795026</v>
      </c>
      <c r="B330" s="0" t="n">
        <v>1</v>
      </c>
      <c r="C330" s="13" t="n">
        <v>46223</v>
      </c>
      <c r="D330" s="0" t="n">
        <v>2026</v>
      </c>
      <c r="E330" s="14" t="s">
        <v>53</v>
      </c>
      <c r="F330" s="14" t="s">
        <v>71</v>
      </c>
      <c r="G330" s="14" t="s">
        <v>72</v>
      </c>
      <c r="H330" s="14" t="s">
        <v>15</v>
      </c>
      <c r="I330" s="14" t="s">
        <v>20</v>
      </c>
      <c r="J330" s="14" t="s">
        <v>21</v>
      </c>
      <c r="K330" s="15" t="n">
        <v>11519.38</v>
      </c>
      <c r="L330" s="16" t="n">
        <v>53342426.4</v>
      </c>
      <c r="M330" s="0" t="n">
        <v>190111</v>
      </c>
      <c r="N330" s="14" t="s">
        <v>308</v>
      </c>
      <c r="O330" s="14" t="s">
        <v>74</v>
      </c>
      <c r="P330" s="14" t="s">
        <v>74</v>
      </c>
    </row>
    <row r="331" customFormat="false" ht="15" hidden="false" customHeight="false" outlineLevel="0" collapsed="false">
      <c r="A331" s="0" t="n">
        <v>122221845</v>
      </c>
      <c r="B331" s="0" t="n">
        <v>1</v>
      </c>
      <c r="C331" s="13" t="n">
        <v>46225</v>
      </c>
      <c r="D331" s="0" t="n">
        <v>2026</v>
      </c>
      <c r="E331" s="14" t="s">
        <v>53</v>
      </c>
      <c r="F331" s="14" t="s">
        <v>71</v>
      </c>
      <c r="G331" s="14" t="s">
        <v>72</v>
      </c>
      <c r="H331" s="14" t="s">
        <v>36</v>
      </c>
      <c r="I331" s="14" t="s">
        <v>16</v>
      </c>
      <c r="J331" s="14" t="s">
        <v>309</v>
      </c>
      <c r="K331" s="15" t="n">
        <v>273.271</v>
      </c>
      <c r="L331" s="16" t="n">
        <v>96135.87</v>
      </c>
      <c r="M331" s="0" t="n">
        <v>21009</v>
      </c>
      <c r="N331" s="14" t="s">
        <v>310</v>
      </c>
      <c r="O331" s="14" t="s">
        <v>74</v>
      </c>
      <c r="P331" s="14" t="s">
        <v>74</v>
      </c>
    </row>
    <row r="332" customFormat="false" ht="15" hidden="false" customHeight="false" outlineLevel="0" collapsed="false">
      <c r="A332" s="0" t="n">
        <v>122223308</v>
      </c>
      <c r="B332" s="0" t="n">
        <v>1</v>
      </c>
      <c r="C332" s="13" t="n">
        <v>46225</v>
      </c>
      <c r="D332" s="0" t="n">
        <v>2026</v>
      </c>
      <c r="E332" s="14" t="s">
        <v>53</v>
      </c>
      <c r="F332" s="14" t="s">
        <v>71</v>
      </c>
      <c r="G332" s="14" t="s">
        <v>72</v>
      </c>
      <c r="H332" s="14" t="s">
        <v>30</v>
      </c>
      <c r="I332" s="14" t="s">
        <v>20</v>
      </c>
      <c r="J332" s="14" t="s">
        <v>27</v>
      </c>
      <c r="K332" s="15" t="n">
        <v>132.868</v>
      </c>
      <c r="L332" s="16" t="n">
        <v>503795.97</v>
      </c>
      <c r="M332" s="0" t="n">
        <v>150705</v>
      </c>
      <c r="N332" s="14" t="s">
        <v>311</v>
      </c>
      <c r="O332" s="14" t="s">
        <v>74</v>
      </c>
      <c r="P332" s="14" t="s">
        <v>74</v>
      </c>
    </row>
    <row r="333" customFormat="false" ht="15" hidden="false" customHeight="false" outlineLevel="0" collapsed="false">
      <c r="A333" s="0" t="n">
        <v>122668683</v>
      </c>
      <c r="B333" s="0" t="n">
        <v>1</v>
      </c>
      <c r="C333" s="13" t="n">
        <v>46228</v>
      </c>
      <c r="D333" s="0" t="n">
        <v>2026</v>
      </c>
      <c r="E333" s="14" t="s">
        <v>53</v>
      </c>
      <c r="F333" s="14" t="s">
        <v>71</v>
      </c>
      <c r="G333" s="14" t="s">
        <v>72</v>
      </c>
      <c r="H333" s="14" t="s">
        <v>39</v>
      </c>
      <c r="I333" s="14" t="s">
        <v>16</v>
      </c>
      <c r="J333" s="14" t="s">
        <v>31</v>
      </c>
      <c r="K333" s="15" t="n">
        <v>1557.38</v>
      </c>
      <c r="L333" s="16" t="n">
        <v>1520885.52</v>
      </c>
      <c r="M333" s="0" t="n">
        <v>130101</v>
      </c>
      <c r="N333" s="14" t="s">
        <v>142</v>
      </c>
      <c r="O333" s="14" t="s">
        <v>74</v>
      </c>
      <c r="P333" s="14" t="s">
        <v>74</v>
      </c>
    </row>
    <row r="334" customFormat="false" ht="15" hidden="false" customHeight="false" outlineLevel="0" collapsed="false">
      <c r="A334" s="0" t="n">
        <v>128143955</v>
      </c>
      <c r="B334" s="0" t="n">
        <v>1</v>
      </c>
      <c r="C334" s="13" t="n">
        <v>46267</v>
      </c>
      <c r="D334" s="0" t="n">
        <v>2026</v>
      </c>
      <c r="E334" s="14" t="s">
        <v>55</v>
      </c>
      <c r="F334" s="14" t="s">
        <v>71</v>
      </c>
      <c r="G334" s="14" t="s">
        <v>72</v>
      </c>
      <c r="H334" s="14" t="s">
        <v>15</v>
      </c>
      <c r="I334" s="14" t="s">
        <v>20</v>
      </c>
      <c r="J334" s="14" t="s">
        <v>17</v>
      </c>
      <c r="K334" s="15" t="n">
        <v>5907.2</v>
      </c>
      <c r="L334" s="16" t="n">
        <v>29589673</v>
      </c>
      <c r="M334" s="0" t="n">
        <v>190111</v>
      </c>
      <c r="N334" s="14" t="s">
        <v>249</v>
      </c>
      <c r="O334" s="14" t="s">
        <v>74</v>
      </c>
      <c r="P334" s="14" t="s">
        <v>74</v>
      </c>
    </row>
    <row r="335" customFormat="false" ht="15" hidden="false" customHeight="false" outlineLevel="0" collapsed="false">
      <c r="A335" s="0" t="n">
        <v>128382782</v>
      </c>
      <c r="B335" s="0" t="n">
        <v>1</v>
      </c>
      <c r="C335" s="13" t="n">
        <v>46268</v>
      </c>
      <c r="D335" s="0" t="n">
        <v>2026</v>
      </c>
      <c r="E335" s="14" t="s">
        <v>55</v>
      </c>
      <c r="F335" s="14" t="s">
        <v>71</v>
      </c>
      <c r="G335" s="14" t="s">
        <v>72</v>
      </c>
      <c r="H335" s="14" t="s">
        <v>23</v>
      </c>
      <c r="I335" s="14" t="s">
        <v>20</v>
      </c>
      <c r="J335" s="14" t="s">
        <v>27</v>
      </c>
      <c r="K335" s="15" t="n">
        <v>500</v>
      </c>
      <c r="L335" s="16" t="n">
        <v>2234872</v>
      </c>
      <c r="M335" s="0" t="n">
        <v>110304</v>
      </c>
      <c r="N335" s="14" t="s">
        <v>312</v>
      </c>
      <c r="O335" s="14" t="s">
        <v>74</v>
      </c>
      <c r="P335" s="14" t="s">
        <v>74</v>
      </c>
    </row>
    <row r="336" customFormat="false" ht="15" hidden="false" customHeight="false" outlineLevel="0" collapsed="false">
      <c r="A336" s="0" t="n">
        <v>130379231</v>
      </c>
      <c r="B336" s="0" t="n">
        <v>1</v>
      </c>
      <c r="C336" s="13" t="n">
        <v>46283</v>
      </c>
      <c r="D336" s="0" t="n">
        <v>2026</v>
      </c>
      <c r="E336" s="14" t="s">
        <v>55</v>
      </c>
      <c r="F336" s="14" t="s">
        <v>71</v>
      </c>
      <c r="G336" s="14" t="s">
        <v>72</v>
      </c>
      <c r="H336" s="14" t="s">
        <v>33</v>
      </c>
      <c r="I336" s="14" t="s">
        <v>20</v>
      </c>
      <c r="J336" s="14" t="s">
        <v>27</v>
      </c>
      <c r="K336" s="15" t="n">
        <v>2787.26</v>
      </c>
      <c r="L336" s="16" t="n">
        <v>13417076</v>
      </c>
      <c r="M336" s="0" t="n">
        <v>40302</v>
      </c>
      <c r="N336" s="14" t="s">
        <v>313</v>
      </c>
      <c r="O336" s="14" t="s">
        <v>74</v>
      </c>
      <c r="P336" s="14" t="s">
        <v>74</v>
      </c>
    </row>
    <row r="337" customFormat="false" ht="15" hidden="false" customHeight="false" outlineLevel="0" collapsed="false">
      <c r="A337" s="0" t="n">
        <v>130553393</v>
      </c>
      <c r="B337" s="0" t="n">
        <v>1</v>
      </c>
      <c r="C337" s="13" t="n">
        <v>46285</v>
      </c>
      <c r="D337" s="0" t="n">
        <v>2026</v>
      </c>
      <c r="E337" s="14" t="s">
        <v>55</v>
      </c>
      <c r="F337" s="14" t="s">
        <v>71</v>
      </c>
      <c r="G337" s="14" t="s">
        <v>72</v>
      </c>
      <c r="H337" s="14" t="s">
        <v>39</v>
      </c>
      <c r="I337" s="14" t="s">
        <v>16</v>
      </c>
      <c r="J337" s="14" t="s">
        <v>31</v>
      </c>
      <c r="K337" s="15" t="n">
        <v>2473.982</v>
      </c>
      <c r="L337" s="16" t="n">
        <v>2473942.92</v>
      </c>
      <c r="M337" s="0" t="n">
        <v>130101</v>
      </c>
      <c r="N337" s="14" t="s">
        <v>142</v>
      </c>
      <c r="O337" s="14" t="s">
        <v>74</v>
      </c>
      <c r="P337" s="14" t="s">
        <v>74</v>
      </c>
    </row>
    <row r="338" customFormat="false" ht="15" hidden="false" customHeight="false" outlineLevel="0" collapsed="false">
      <c r="A338" s="0" t="n">
        <v>131895974</v>
      </c>
      <c r="B338" s="0" t="n">
        <v>1</v>
      </c>
      <c r="C338" s="13" t="n">
        <v>46294</v>
      </c>
      <c r="D338" s="0" t="n">
        <v>2026</v>
      </c>
      <c r="E338" s="14" t="s">
        <v>55</v>
      </c>
      <c r="F338" s="14" t="s">
        <v>71</v>
      </c>
      <c r="G338" s="14" t="s">
        <v>72</v>
      </c>
      <c r="H338" s="14" t="s">
        <v>15</v>
      </c>
      <c r="I338" s="14" t="s">
        <v>20</v>
      </c>
      <c r="J338" s="14" t="s">
        <v>27</v>
      </c>
      <c r="K338" s="15" t="n">
        <v>2584.56</v>
      </c>
      <c r="L338" s="16" t="n">
        <v>10714700</v>
      </c>
      <c r="M338" s="0" t="n">
        <v>190108</v>
      </c>
      <c r="N338" s="14" t="s">
        <v>314</v>
      </c>
      <c r="O338" s="14" t="s">
        <v>74</v>
      </c>
      <c r="P338" s="14" t="s">
        <v>74</v>
      </c>
    </row>
    <row r="339" customFormat="false" ht="15" hidden="false" customHeight="false" outlineLevel="0" collapsed="false">
      <c r="A339" s="0" t="n">
        <v>131936355</v>
      </c>
      <c r="B339" s="0" t="n">
        <v>1</v>
      </c>
      <c r="C339" s="13" t="n">
        <v>46295</v>
      </c>
      <c r="D339" s="0" t="n">
        <v>2026</v>
      </c>
      <c r="E339" s="14" t="s">
        <v>55</v>
      </c>
      <c r="F339" s="14" t="s">
        <v>71</v>
      </c>
      <c r="G339" s="14" t="s">
        <v>72</v>
      </c>
      <c r="H339" s="14" t="s">
        <v>23</v>
      </c>
      <c r="I339" s="14" t="s">
        <v>20</v>
      </c>
      <c r="J339" s="14" t="s">
        <v>21</v>
      </c>
      <c r="K339" s="15" t="n">
        <v>11900</v>
      </c>
      <c r="L339" s="16" t="n">
        <v>54404421.17</v>
      </c>
      <c r="M339" s="0" t="n">
        <v>110304</v>
      </c>
      <c r="N339" s="14" t="s">
        <v>315</v>
      </c>
      <c r="O339" s="14" t="s">
        <v>74</v>
      </c>
      <c r="P339" s="14" t="s">
        <v>74</v>
      </c>
    </row>
    <row r="340" customFormat="false" ht="15" hidden="false" customHeight="false" outlineLevel="0" collapsed="false">
      <c r="A340" s="0" t="n">
        <v>132278790</v>
      </c>
      <c r="B340" s="0" t="n">
        <v>1</v>
      </c>
      <c r="C340" s="13" t="n">
        <v>46297</v>
      </c>
      <c r="D340" s="0" t="n">
        <v>2026</v>
      </c>
      <c r="E340" s="14" t="s">
        <v>56</v>
      </c>
      <c r="F340" s="14" t="s">
        <v>71</v>
      </c>
      <c r="G340" s="14" t="s">
        <v>72</v>
      </c>
      <c r="H340" s="14" t="s">
        <v>15</v>
      </c>
      <c r="I340" s="14" t="s">
        <v>20</v>
      </c>
      <c r="J340" s="14" t="s">
        <v>17</v>
      </c>
      <c r="K340" s="15" t="n">
        <v>2712.75</v>
      </c>
      <c r="L340" s="16" t="n">
        <v>6195000</v>
      </c>
      <c r="M340" s="0" t="n">
        <v>190111</v>
      </c>
      <c r="N340" s="14" t="s">
        <v>249</v>
      </c>
      <c r="O340" s="14" t="s">
        <v>74</v>
      </c>
      <c r="P340" s="14" t="s">
        <v>74</v>
      </c>
    </row>
    <row r="341" customFormat="false" ht="15" hidden="false" customHeight="false" outlineLevel="0" collapsed="false">
      <c r="A341" s="0" t="n">
        <v>132362759</v>
      </c>
      <c r="B341" s="0" t="n">
        <v>1</v>
      </c>
      <c r="C341" s="13" t="n">
        <v>46297</v>
      </c>
      <c r="D341" s="0" t="n">
        <v>2026</v>
      </c>
      <c r="E341" s="14" t="s">
        <v>56</v>
      </c>
      <c r="F341" s="14" t="s">
        <v>71</v>
      </c>
      <c r="G341" s="14" t="s">
        <v>72</v>
      </c>
      <c r="H341" s="14" t="s">
        <v>39</v>
      </c>
      <c r="I341" s="14" t="s">
        <v>20</v>
      </c>
      <c r="J341" s="14" t="s">
        <v>31</v>
      </c>
      <c r="K341" s="15" t="n">
        <v>1366.078</v>
      </c>
      <c r="L341" s="16" t="n">
        <v>1620000</v>
      </c>
      <c r="M341" s="0" t="n">
        <v>130105</v>
      </c>
      <c r="N341" s="14" t="s">
        <v>102</v>
      </c>
      <c r="O341" s="14" t="s">
        <v>74</v>
      </c>
      <c r="P341" s="14" t="s">
        <v>74</v>
      </c>
    </row>
    <row r="342" customFormat="false" ht="15" hidden="false" customHeight="false" outlineLevel="0" collapsed="false">
      <c r="A342" s="0" t="n">
        <v>132988841</v>
      </c>
      <c r="B342" s="0" t="n">
        <v>1</v>
      </c>
      <c r="C342" s="13" t="n">
        <v>46302</v>
      </c>
      <c r="D342" s="0" t="n">
        <v>2026</v>
      </c>
      <c r="E342" s="14" t="s">
        <v>56</v>
      </c>
      <c r="F342" s="14" t="s">
        <v>71</v>
      </c>
      <c r="G342" s="14" t="s">
        <v>72</v>
      </c>
      <c r="H342" s="14" t="s">
        <v>30</v>
      </c>
      <c r="I342" s="14" t="s">
        <v>20</v>
      </c>
      <c r="J342" s="14" t="s">
        <v>17</v>
      </c>
      <c r="K342" s="15" t="n">
        <v>11765.936</v>
      </c>
      <c r="L342" s="16" t="n">
        <v>25200000</v>
      </c>
      <c r="M342" s="0" t="n">
        <v>150509</v>
      </c>
      <c r="N342" s="14" t="s">
        <v>79</v>
      </c>
      <c r="O342" s="14" t="s">
        <v>74</v>
      </c>
      <c r="P342" s="14" t="s">
        <v>74</v>
      </c>
    </row>
    <row r="343" customFormat="false" ht="15" hidden="false" customHeight="false" outlineLevel="0" collapsed="false">
      <c r="A343" s="0" t="n">
        <v>124580091</v>
      </c>
      <c r="B343" s="0" t="n">
        <v>1</v>
      </c>
      <c r="C343" s="13" t="n">
        <v>46242</v>
      </c>
      <c r="D343" s="0" t="n">
        <v>2026</v>
      </c>
      <c r="E343" s="14" t="s">
        <v>54</v>
      </c>
      <c r="F343" s="14" t="s">
        <v>71</v>
      </c>
      <c r="G343" s="14" t="s">
        <v>72</v>
      </c>
      <c r="H343" s="14" t="s">
        <v>30</v>
      </c>
      <c r="I343" s="14" t="s">
        <v>20</v>
      </c>
      <c r="J343" s="14" t="s">
        <v>27</v>
      </c>
      <c r="K343" s="15" t="n">
        <v>994.73</v>
      </c>
      <c r="L343" s="16" t="n">
        <v>585093</v>
      </c>
      <c r="M343" s="0" t="n">
        <v>150202</v>
      </c>
      <c r="N343" s="14" t="s">
        <v>247</v>
      </c>
      <c r="O343" s="14" t="s">
        <v>74</v>
      </c>
      <c r="P343" s="14" t="s">
        <v>74</v>
      </c>
    </row>
    <row r="344" customFormat="false" ht="15" hidden="false" customHeight="false" outlineLevel="0" collapsed="false">
      <c r="A344" s="0" t="n">
        <v>124814743</v>
      </c>
      <c r="B344" s="0" t="n">
        <v>1</v>
      </c>
      <c r="C344" s="13" t="n">
        <v>46244</v>
      </c>
      <c r="D344" s="0" t="n">
        <v>2026</v>
      </c>
      <c r="E344" s="14" t="s">
        <v>54</v>
      </c>
      <c r="F344" s="14" t="s">
        <v>71</v>
      </c>
      <c r="G344" s="14" t="s">
        <v>72</v>
      </c>
      <c r="H344" s="14" t="s">
        <v>15</v>
      </c>
      <c r="I344" s="14" t="s">
        <v>20</v>
      </c>
      <c r="J344" s="14" t="s">
        <v>17</v>
      </c>
      <c r="K344" s="15" t="n">
        <v>11718.58</v>
      </c>
      <c r="L344" s="16" t="n">
        <v>48328201.24</v>
      </c>
      <c r="M344" s="0" t="n">
        <v>190112</v>
      </c>
      <c r="N344" s="14" t="s">
        <v>249</v>
      </c>
      <c r="O344" s="14" t="s">
        <v>74</v>
      </c>
      <c r="P344" s="14" t="s">
        <v>74</v>
      </c>
    </row>
    <row r="345" customFormat="false" ht="15" hidden="false" customHeight="false" outlineLevel="0" collapsed="false">
      <c r="A345" s="0" t="n">
        <v>125280067</v>
      </c>
      <c r="B345" s="0" t="n">
        <v>1</v>
      </c>
      <c r="C345" s="13" t="n">
        <v>46247</v>
      </c>
      <c r="D345" s="0" t="n">
        <v>2026</v>
      </c>
      <c r="E345" s="14" t="s">
        <v>54</v>
      </c>
      <c r="F345" s="14" t="s">
        <v>71</v>
      </c>
      <c r="G345" s="14" t="s">
        <v>72</v>
      </c>
      <c r="H345" s="14" t="s">
        <v>39</v>
      </c>
      <c r="I345" s="14" t="s">
        <v>16</v>
      </c>
      <c r="J345" s="14" t="s">
        <v>31</v>
      </c>
      <c r="K345" s="15" t="n">
        <v>2281.609</v>
      </c>
      <c r="L345" s="16" t="n">
        <v>2627181.55</v>
      </c>
      <c r="M345" s="0" t="n">
        <v>130101</v>
      </c>
      <c r="N345" s="14" t="s">
        <v>316</v>
      </c>
      <c r="O345" s="14" t="s">
        <v>74</v>
      </c>
      <c r="P345" s="14" t="s">
        <v>74</v>
      </c>
    </row>
    <row r="346" customFormat="false" ht="15" hidden="false" customHeight="false" outlineLevel="0" collapsed="false">
      <c r="A346" s="0" t="n">
        <v>125206944</v>
      </c>
      <c r="B346" s="0" t="n">
        <v>1</v>
      </c>
      <c r="C346" s="13" t="n">
        <v>46246</v>
      </c>
      <c r="D346" s="0" t="n">
        <v>2026</v>
      </c>
      <c r="E346" s="14" t="s">
        <v>54</v>
      </c>
      <c r="F346" s="14" t="s">
        <v>71</v>
      </c>
      <c r="G346" s="14" t="s">
        <v>72</v>
      </c>
      <c r="H346" s="14" t="s">
        <v>26</v>
      </c>
      <c r="I346" s="14" t="s">
        <v>20</v>
      </c>
      <c r="J346" s="14" t="s">
        <v>17</v>
      </c>
      <c r="K346" s="15" t="n">
        <v>9716.75</v>
      </c>
      <c r="L346" s="16" t="n">
        <v>36512679.7</v>
      </c>
      <c r="M346" s="0" t="n">
        <v>50612</v>
      </c>
      <c r="N346" s="14" t="s">
        <v>249</v>
      </c>
      <c r="O346" s="14" t="s">
        <v>74</v>
      </c>
      <c r="P346" s="14" t="s">
        <v>74</v>
      </c>
    </row>
    <row r="347" customFormat="false" ht="28.35" hidden="false" customHeight="false" outlineLevel="0" collapsed="false">
      <c r="A347" s="0" t="n">
        <v>127617336</v>
      </c>
      <c r="B347" s="0" t="n">
        <v>1</v>
      </c>
      <c r="C347" s="13" t="n">
        <v>46263</v>
      </c>
      <c r="D347" s="0" t="n">
        <v>2026</v>
      </c>
      <c r="E347" s="14" t="s">
        <v>54</v>
      </c>
      <c r="F347" s="14" t="s">
        <v>71</v>
      </c>
      <c r="G347" s="14" t="s">
        <v>72</v>
      </c>
      <c r="H347" s="14" t="s">
        <v>33</v>
      </c>
      <c r="I347" s="14" t="s">
        <v>20</v>
      </c>
      <c r="J347" s="14" t="s">
        <v>27</v>
      </c>
      <c r="K347" s="15" t="n">
        <v>2737.214</v>
      </c>
      <c r="L347" s="16" t="n">
        <v>11320076.96</v>
      </c>
      <c r="M347" s="0" t="n">
        <v>40307</v>
      </c>
      <c r="N347" s="17" t="s">
        <v>317</v>
      </c>
      <c r="O347" s="14" t="s">
        <v>74</v>
      </c>
      <c r="P347" s="14" t="s">
        <v>74</v>
      </c>
    </row>
    <row r="348" customFormat="false" ht="15" hidden="false" customHeight="false" outlineLevel="0" collapsed="false">
      <c r="A348" s="0" t="n">
        <v>128140896</v>
      </c>
      <c r="B348" s="0" t="n">
        <v>1</v>
      </c>
      <c r="C348" s="13" t="n">
        <v>46267</v>
      </c>
      <c r="D348" s="0" t="n">
        <v>2026</v>
      </c>
      <c r="E348" s="14" t="s">
        <v>55</v>
      </c>
      <c r="F348" s="14" t="s">
        <v>71</v>
      </c>
      <c r="G348" s="14" t="s">
        <v>72</v>
      </c>
      <c r="H348" s="14" t="s">
        <v>15</v>
      </c>
      <c r="I348" s="14" t="s">
        <v>20</v>
      </c>
      <c r="J348" s="14" t="s">
        <v>17</v>
      </c>
      <c r="K348" s="15" t="n">
        <v>11598.51</v>
      </c>
      <c r="L348" s="16" t="n">
        <v>58000089</v>
      </c>
      <c r="M348" s="0" t="n">
        <v>190111</v>
      </c>
      <c r="N348" s="14" t="s">
        <v>249</v>
      </c>
      <c r="O348" s="14" t="s">
        <v>74</v>
      </c>
      <c r="P348" s="14" t="s">
        <v>74</v>
      </c>
    </row>
    <row r="349" customFormat="false" ht="15" hidden="false" customHeight="false" outlineLevel="0" collapsed="false">
      <c r="A349" s="0" t="n">
        <v>128491555</v>
      </c>
      <c r="B349" s="0" t="n">
        <v>1</v>
      </c>
      <c r="C349" s="13" t="n">
        <v>46269</v>
      </c>
      <c r="D349" s="0" t="n">
        <v>2026</v>
      </c>
      <c r="E349" s="14" t="s">
        <v>55</v>
      </c>
      <c r="F349" s="14" t="s">
        <v>71</v>
      </c>
      <c r="G349" s="14" t="s">
        <v>72</v>
      </c>
      <c r="H349" s="14" t="s">
        <v>30</v>
      </c>
      <c r="I349" s="14" t="s">
        <v>20</v>
      </c>
      <c r="J349" s="14" t="s">
        <v>37</v>
      </c>
      <c r="K349" s="15" t="n">
        <v>895.54</v>
      </c>
      <c r="L349" s="16" t="n">
        <v>608886.6</v>
      </c>
      <c r="M349" s="0" t="n">
        <v>150202</v>
      </c>
      <c r="N349" s="14" t="s">
        <v>318</v>
      </c>
      <c r="O349" s="14" t="s">
        <v>74</v>
      </c>
      <c r="P349" s="14" t="s">
        <v>74</v>
      </c>
    </row>
    <row r="350" customFormat="false" ht="15" hidden="false" customHeight="false" outlineLevel="0" collapsed="false">
      <c r="A350" s="0" t="n">
        <v>131053126</v>
      </c>
      <c r="B350" s="0" t="n">
        <v>1</v>
      </c>
      <c r="C350" s="13" t="n">
        <v>46288</v>
      </c>
      <c r="D350" s="0" t="n">
        <v>2026</v>
      </c>
      <c r="E350" s="14" t="s">
        <v>55</v>
      </c>
      <c r="F350" s="14" t="s">
        <v>106</v>
      </c>
      <c r="G350" s="14" t="s">
        <v>107</v>
      </c>
      <c r="H350" s="14" t="s">
        <v>39</v>
      </c>
      <c r="I350" s="14" t="s">
        <v>16</v>
      </c>
      <c r="J350" s="14" t="s">
        <v>137</v>
      </c>
      <c r="K350" s="15" t="n">
        <v>985</v>
      </c>
      <c r="L350" s="16" t="n">
        <v>500000</v>
      </c>
      <c r="M350" s="0" t="n">
        <v>130105</v>
      </c>
      <c r="N350" s="14" t="s">
        <v>319</v>
      </c>
      <c r="O350" s="14" t="s">
        <v>74</v>
      </c>
      <c r="P350" s="14" t="s">
        <v>74</v>
      </c>
    </row>
    <row r="351" customFormat="false" ht="15" hidden="false" customHeight="false" outlineLevel="0" collapsed="false">
      <c r="A351" s="0" t="n">
        <v>131093514</v>
      </c>
      <c r="B351" s="0" t="n">
        <v>1</v>
      </c>
      <c r="C351" s="13" t="n">
        <v>46288</v>
      </c>
      <c r="D351" s="0" t="n">
        <v>2026</v>
      </c>
      <c r="E351" s="14" t="s">
        <v>55</v>
      </c>
      <c r="F351" s="14" t="s">
        <v>71</v>
      </c>
      <c r="G351" s="14" t="s">
        <v>72</v>
      </c>
      <c r="H351" s="14" t="s">
        <v>39</v>
      </c>
      <c r="I351" s="14" t="s">
        <v>20</v>
      </c>
      <c r="J351" s="14" t="s">
        <v>31</v>
      </c>
      <c r="K351" s="15" t="n">
        <v>714.872</v>
      </c>
      <c r="L351" s="16" t="n">
        <v>880000</v>
      </c>
      <c r="M351" s="0" t="n">
        <v>130105</v>
      </c>
      <c r="N351" s="14" t="s">
        <v>102</v>
      </c>
      <c r="O351" s="14" t="s">
        <v>74</v>
      </c>
      <c r="P351" s="14" t="s">
        <v>74</v>
      </c>
    </row>
    <row r="352" customFormat="false" ht="28.35" hidden="false" customHeight="false" outlineLevel="0" collapsed="false">
      <c r="A352" s="0" t="n">
        <v>131540176</v>
      </c>
      <c r="B352" s="0" t="n">
        <v>1</v>
      </c>
      <c r="C352" s="13" t="n">
        <v>46292</v>
      </c>
      <c r="D352" s="0" t="n">
        <v>2026</v>
      </c>
      <c r="E352" s="14" t="s">
        <v>55</v>
      </c>
      <c r="F352" s="14" t="s">
        <v>71</v>
      </c>
      <c r="G352" s="14" t="s">
        <v>72</v>
      </c>
      <c r="H352" s="14" t="s">
        <v>33</v>
      </c>
      <c r="I352" s="14" t="s">
        <v>20</v>
      </c>
      <c r="J352" s="14" t="s">
        <v>27</v>
      </c>
      <c r="K352" s="15" t="n">
        <v>2998.549</v>
      </c>
      <c r="L352" s="16" t="n">
        <v>13257064.89</v>
      </c>
      <c r="M352" s="0" t="n">
        <v>40302</v>
      </c>
      <c r="N352" s="17" t="s">
        <v>320</v>
      </c>
      <c r="O352" s="14" t="s">
        <v>74</v>
      </c>
      <c r="P352" s="14" t="s">
        <v>74</v>
      </c>
    </row>
    <row r="353" customFormat="false" ht="15" hidden="false" customHeight="false" outlineLevel="0" collapsed="false">
      <c r="A353" s="0" t="n">
        <v>132963237</v>
      </c>
      <c r="B353" s="0" t="n">
        <v>1</v>
      </c>
      <c r="C353" s="13" t="n">
        <v>46302</v>
      </c>
      <c r="D353" s="0" t="n">
        <v>2026</v>
      </c>
      <c r="E353" s="14" t="s">
        <v>56</v>
      </c>
      <c r="F353" s="14" t="s">
        <v>71</v>
      </c>
      <c r="G353" s="14" t="s">
        <v>72</v>
      </c>
      <c r="H353" s="14" t="s">
        <v>15</v>
      </c>
      <c r="I353" s="14" t="s">
        <v>20</v>
      </c>
      <c r="J353" s="14" t="s">
        <v>21</v>
      </c>
      <c r="K353" s="15" t="n">
        <v>11690</v>
      </c>
      <c r="L353" s="16" t="n">
        <v>36746491.13</v>
      </c>
      <c r="M353" s="0" t="n">
        <v>190111</v>
      </c>
      <c r="N353" s="14" t="s">
        <v>321</v>
      </c>
      <c r="O353" s="14" t="s">
        <v>74</v>
      </c>
      <c r="P353" s="14" t="s">
        <v>74</v>
      </c>
    </row>
    <row r="354" customFormat="false" ht="15" hidden="false" customHeight="false" outlineLevel="0" collapsed="false">
      <c r="A354" s="0" t="n">
        <v>130123845</v>
      </c>
      <c r="B354" s="0" t="n">
        <v>1</v>
      </c>
      <c r="C354" s="13" t="n">
        <v>46281</v>
      </c>
      <c r="D354" s="0" t="n">
        <v>2026</v>
      </c>
      <c r="E354" s="14" t="s">
        <v>55</v>
      </c>
      <c r="F354" s="14" t="s">
        <v>71</v>
      </c>
      <c r="G354" s="14" t="s">
        <v>72</v>
      </c>
      <c r="H354" s="14" t="s">
        <v>23</v>
      </c>
      <c r="I354" s="14" t="s">
        <v>20</v>
      </c>
      <c r="J354" s="14" t="s">
        <v>27</v>
      </c>
      <c r="K354" s="15" t="n">
        <v>590</v>
      </c>
      <c r="L354" s="16" t="n">
        <v>1803791</v>
      </c>
      <c r="M354" s="0" t="n">
        <v>110304</v>
      </c>
      <c r="N354" s="14" t="s">
        <v>289</v>
      </c>
      <c r="O354" s="14" t="s">
        <v>74</v>
      </c>
      <c r="P354" s="14" t="s">
        <v>74</v>
      </c>
    </row>
    <row r="355" customFormat="false" ht="15" hidden="false" customHeight="false" outlineLevel="0" collapsed="false">
      <c r="A355" s="0" t="n">
        <v>123471144</v>
      </c>
      <c r="B355" s="0" t="n">
        <v>1</v>
      </c>
      <c r="C355" s="13" t="n">
        <v>46234</v>
      </c>
      <c r="D355" s="0" t="n">
        <v>2026</v>
      </c>
      <c r="E355" s="14" t="s">
        <v>53</v>
      </c>
      <c r="F355" s="14" t="s">
        <v>71</v>
      </c>
      <c r="G355" s="14" t="s">
        <v>72</v>
      </c>
      <c r="H355" s="14" t="s">
        <v>15</v>
      </c>
      <c r="I355" s="14" t="s">
        <v>20</v>
      </c>
      <c r="J355" s="14" t="s">
        <v>17</v>
      </c>
      <c r="K355" s="15" t="n">
        <v>10985.786</v>
      </c>
      <c r="L355" s="16" t="n">
        <v>57828312.16</v>
      </c>
      <c r="M355" s="0" t="n">
        <v>190111</v>
      </c>
      <c r="N355" s="14" t="s">
        <v>224</v>
      </c>
      <c r="O355" s="14" t="s">
        <v>74</v>
      </c>
      <c r="P355" s="14" t="s">
        <v>74</v>
      </c>
    </row>
    <row r="356" customFormat="false" ht="15" hidden="false" customHeight="false" outlineLevel="0" collapsed="false">
      <c r="A356" s="0" t="n">
        <v>123658214</v>
      </c>
      <c r="B356" s="0" t="n">
        <v>1</v>
      </c>
      <c r="C356" s="13" t="n">
        <v>46235</v>
      </c>
      <c r="D356" s="0" t="n">
        <v>2026</v>
      </c>
      <c r="E356" s="14" t="s">
        <v>54</v>
      </c>
      <c r="F356" s="14" t="s">
        <v>71</v>
      </c>
      <c r="G356" s="14" t="s">
        <v>72</v>
      </c>
      <c r="H356" s="14" t="s">
        <v>26</v>
      </c>
      <c r="I356" s="14" t="s">
        <v>16</v>
      </c>
      <c r="J356" s="14" t="s">
        <v>27</v>
      </c>
      <c r="K356" s="15" t="n">
        <v>195.138</v>
      </c>
      <c r="L356" s="16" t="n">
        <v>507194.96</v>
      </c>
      <c r="M356" s="0" t="n">
        <v>50612</v>
      </c>
      <c r="N356" s="14" t="s">
        <v>145</v>
      </c>
      <c r="O356" s="14" t="s">
        <v>74</v>
      </c>
      <c r="P356" s="14" t="s">
        <v>74</v>
      </c>
    </row>
    <row r="357" customFormat="false" ht="28.35" hidden="false" customHeight="false" outlineLevel="0" collapsed="false">
      <c r="A357" s="0" t="n">
        <v>125010431</v>
      </c>
      <c r="B357" s="0" t="n">
        <v>1</v>
      </c>
      <c r="C357" s="13" t="n">
        <v>46245</v>
      </c>
      <c r="D357" s="0" t="n">
        <v>2026</v>
      </c>
      <c r="E357" s="14" t="s">
        <v>54</v>
      </c>
      <c r="F357" s="14" t="s">
        <v>71</v>
      </c>
      <c r="G357" s="14" t="s">
        <v>72</v>
      </c>
      <c r="H357" s="14" t="s">
        <v>23</v>
      </c>
      <c r="I357" s="14" t="s">
        <v>16</v>
      </c>
      <c r="J357" s="14" t="s">
        <v>27</v>
      </c>
      <c r="K357" s="15" t="n">
        <v>91.064</v>
      </c>
      <c r="L357" s="16" t="n">
        <v>192226.84</v>
      </c>
      <c r="M357" s="0" t="n">
        <v>110203</v>
      </c>
      <c r="N357" s="17" t="s">
        <v>322</v>
      </c>
      <c r="O357" s="14" t="s">
        <v>74</v>
      </c>
      <c r="P357" s="14" t="s">
        <v>74</v>
      </c>
    </row>
    <row r="358" customFormat="false" ht="15" hidden="false" customHeight="false" outlineLevel="0" collapsed="false">
      <c r="A358" s="0" t="n">
        <v>125335104</v>
      </c>
      <c r="B358" s="0" t="n">
        <v>1</v>
      </c>
      <c r="C358" s="13" t="n">
        <v>46247</v>
      </c>
      <c r="D358" s="0" t="n">
        <v>2026</v>
      </c>
      <c r="E358" s="14" t="s">
        <v>54</v>
      </c>
      <c r="F358" s="14" t="s">
        <v>71</v>
      </c>
      <c r="G358" s="14" t="s">
        <v>72</v>
      </c>
      <c r="H358" s="14" t="s">
        <v>23</v>
      </c>
      <c r="I358" s="14" t="s">
        <v>20</v>
      </c>
      <c r="J358" s="14" t="s">
        <v>31</v>
      </c>
      <c r="K358" s="15" t="n">
        <v>66.016</v>
      </c>
      <c r="L358" s="16" t="n">
        <v>435434.99</v>
      </c>
      <c r="M358" s="0" t="n">
        <v>110301</v>
      </c>
      <c r="N358" s="14" t="s">
        <v>323</v>
      </c>
      <c r="O358" s="14" t="s">
        <v>74</v>
      </c>
      <c r="P358" s="14" t="s">
        <v>74</v>
      </c>
    </row>
    <row r="359" customFormat="false" ht="28.35" hidden="false" customHeight="false" outlineLevel="0" collapsed="false">
      <c r="A359" s="0" t="n">
        <v>125388981</v>
      </c>
      <c r="B359" s="0" t="n">
        <v>1</v>
      </c>
      <c r="C359" s="13" t="n">
        <v>46248</v>
      </c>
      <c r="D359" s="0" t="n">
        <v>2026</v>
      </c>
      <c r="E359" s="14" t="s">
        <v>54</v>
      </c>
      <c r="F359" s="14" t="s">
        <v>71</v>
      </c>
      <c r="G359" s="14" t="s">
        <v>72</v>
      </c>
      <c r="H359" s="14" t="s">
        <v>23</v>
      </c>
      <c r="I359" s="14" t="s">
        <v>20</v>
      </c>
      <c r="J359" s="14" t="s">
        <v>27</v>
      </c>
      <c r="K359" s="15" t="n">
        <v>1041.276</v>
      </c>
      <c r="L359" s="16" t="n">
        <v>3582498.98</v>
      </c>
      <c r="M359" s="0" t="n">
        <v>110304</v>
      </c>
      <c r="N359" s="17" t="s">
        <v>324</v>
      </c>
      <c r="O359" s="14" t="s">
        <v>74</v>
      </c>
      <c r="P359" s="14" t="s">
        <v>74</v>
      </c>
    </row>
    <row r="360" customFormat="false" ht="15" hidden="false" customHeight="false" outlineLevel="0" collapsed="false">
      <c r="A360" s="0" t="n">
        <v>125739599</v>
      </c>
      <c r="B360" s="0" t="n">
        <v>1</v>
      </c>
      <c r="C360" s="13" t="n">
        <v>46251</v>
      </c>
      <c r="D360" s="0" t="n">
        <v>2026</v>
      </c>
      <c r="E360" s="14" t="s">
        <v>54</v>
      </c>
      <c r="F360" s="14" t="s">
        <v>71</v>
      </c>
      <c r="G360" s="14" t="s">
        <v>72</v>
      </c>
      <c r="H360" s="14" t="s">
        <v>15</v>
      </c>
      <c r="I360" s="14" t="s">
        <v>20</v>
      </c>
      <c r="J360" s="14" t="s">
        <v>21</v>
      </c>
      <c r="K360" s="15" t="n">
        <v>11622.95</v>
      </c>
      <c r="L360" s="16" t="n">
        <v>49559210.29</v>
      </c>
      <c r="M360" s="0" t="n">
        <v>190111</v>
      </c>
      <c r="N360" s="14" t="s">
        <v>325</v>
      </c>
      <c r="O360" s="14" t="s">
        <v>74</v>
      </c>
      <c r="P360" s="14" t="s">
        <v>74</v>
      </c>
    </row>
    <row r="361" customFormat="false" ht="15" hidden="false" customHeight="false" outlineLevel="0" collapsed="false">
      <c r="A361" s="0" t="n">
        <v>125822283</v>
      </c>
      <c r="B361" s="0" t="n">
        <v>1</v>
      </c>
      <c r="C361" s="13" t="n">
        <v>46251</v>
      </c>
      <c r="D361" s="0" t="n">
        <v>2026</v>
      </c>
      <c r="E361" s="14" t="s">
        <v>54</v>
      </c>
      <c r="F361" s="14" t="s">
        <v>71</v>
      </c>
      <c r="G361" s="14" t="s">
        <v>72</v>
      </c>
      <c r="H361" s="14" t="s">
        <v>39</v>
      </c>
      <c r="I361" s="14" t="s">
        <v>20</v>
      </c>
      <c r="J361" s="14" t="s">
        <v>31</v>
      </c>
      <c r="K361" s="15" t="n">
        <v>1237.952</v>
      </c>
      <c r="L361" s="16" t="n">
        <v>1525749.09</v>
      </c>
      <c r="M361" s="0" t="n">
        <v>130105</v>
      </c>
      <c r="N361" s="14" t="s">
        <v>326</v>
      </c>
      <c r="O361" s="14" t="s">
        <v>74</v>
      </c>
      <c r="P361" s="14" t="s">
        <v>74</v>
      </c>
    </row>
    <row r="362" customFormat="false" ht="15" hidden="false" customHeight="false" outlineLevel="0" collapsed="false">
      <c r="A362" s="0" t="n">
        <v>126160356</v>
      </c>
      <c r="B362" s="0" t="n">
        <v>1</v>
      </c>
      <c r="C362" s="13" t="n">
        <v>46253</v>
      </c>
      <c r="D362" s="0" t="n">
        <v>2026</v>
      </c>
      <c r="E362" s="14" t="s">
        <v>54</v>
      </c>
      <c r="F362" s="14" t="s">
        <v>71</v>
      </c>
      <c r="G362" s="14" t="s">
        <v>72</v>
      </c>
      <c r="H362" s="14" t="s">
        <v>15</v>
      </c>
      <c r="I362" s="14" t="s">
        <v>20</v>
      </c>
      <c r="J362" s="14" t="s">
        <v>17</v>
      </c>
      <c r="K362" s="15" t="n">
        <v>10130.61</v>
      </c>
      <c r="L362" s="16" t="n">
        <v>47768627.71</v>
      </c>
      <c r="M362" s="0" t="n">
        <v>190111</v>
      </c>
      <c r="N362" s="14" t="s">
        <v>249</v>
      </c>
      <c r="O362" s="14" t="s">
        <v>74</v>
      </c>
      <c r="P362" s="14" t="s">
        <v>74</v>
      </c>
    </row>
    <row r="363" customFormat="false" ht="15" hidden="false" customHeight="false" outlineLevel="0" collapsed="false">
      <c r="A363" s="0" t="n">
        <v>128986601</v>
      </c>
      <c r="B363" s="0" t="n">
        <v>1</v>
      </c>
      <c r="C363" s="13" t="n">
        <v>46273</v>
      </c>
      <c r="D363" s="0" t="n">
        <v>2026</v>
      </c>
      <c r="E363" s="14" t="s">
        <v>55</v>
      </c>
      <c r="F363" s="14" t="s">
        <v>71</v>
      </c>
      <c r="G363" s="14" t="s">
        <v>72</v>
      </c>
      <c r="H363" s="14" t="s">
        <v>15</v>
      </c>
      <c r="I363" s="14" t="s">
        <v>20</v>
      </c>
      <c r="J363" s="14" t="s">
        <v>17</v>
      </c>
      <c r="K363" s="15" t="n">
        <v>9778.44</v>
      </c>
      <c r="L363" s="16" t="n">
        <v>38757417</v>
      </c>
      <c r="M363" s="0" t="n">
        <v>190111</v>
      </c>
      <c r="N363" s="14" t="s">
        <v>249</v>
      </c>
      <c r="O363" s="14" t="s">
        <v>74</v>
      </c>
      <c r="P363" s="14" t="s">
        <v>74</v>
      </c>
    </row>
    <row r="364" customFormat="false" ht="15" hidden="false" customHeight="false" outlineLevel="0" collapsed="false">
      <c r="A364" s="0" t="n">
        <v>129436576</v>
      </c>
      <c r="B364" s="0" t="n">
        <v>1</v>
      </c>
      <c r="C364" s="13" t="n">
        <v>46276</v>
      </c>
      <c r="D364" s="0" t="n">
        <v>2026</v>
      </c>
      <c r="E364" s="14" t="s">
        <v>55</v>
      </c>
      <c r="F364" s="14" t="s">
        <v>71</v>
      </c>
      <c r="G364" s="14" t="s">
        <v>72</v>
      </c>
      <c r="H364" s="14" t="s">
        <v>15</v>
      </c>
      <c r="I364" s="14" t="s">
        <v>20</v>
      </c>
      <c r="J364" s="14" t="s">
        <v>21</v>
      </c>
      <c r="K364" s="15" t="n">
        <v>11700</v>
      </c>
      <c r="L364" s="16" t="n">
        <v>48375677.18</v>
      </c>
      <c r="M364" s="0" t="n">
        <v>190111</v>
      </c>
      <c r="N364" s="14" t="s">
        <v>327</v>
      </c>
      <c r="O364" s="14" t="s">
        <v>74</v>
      </c>
      <c r="P364" s="14" t="s">
        <v>74</v>
      </c>
    </row>
  </sheetData>
  <autoFilter ref="A1:P3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2026-10-28T17:40:43Z</dcterms:created>
  <dc:creator>openpyxl</dc:creator>
  <dc:description/>
  <dc:language>en-US</dc:language>
  <cp:lastModifiedBy/>
  <dcterms:modified xsi:type="dcterms:W3CDTF">2026-10-28T17:40:46Z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